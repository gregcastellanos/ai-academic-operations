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Pricing Reference" sheetId="2" state="visible" r:id="rId2"/>
    <sheet name="Cadence Reference" sheetId="3" state="visible" r:id="rId3"/>
    <sheet name="Token Math Template" sheetId="4" state="visible" r:id="rId4"/>
    <sheet name="Scenario Analysis" sheetId="5" state="visible" r:id="rId5"/>
    <sheet name="Candidate Assumptions" sheetId="6" state="visible" r:id="rId6"/>
  </sheets>
  <definedNames/>
  <calcPr calcId="124519" fullCalcOnLoad="1"/>
</workbook>
</file>

<file path=xl/styles.xml><?xml version="1.0" encoding="utf-8"?>
<styleSheet xmlns="http://schemas.openxmlformats.org/spreadsheetml/2006/main">
  <numFmts count="9">
    <numFmt numFmtId="164" formatCode="$0.00"/>
    <numFmt numFmtId="165" formatCode="$0.000"/>
    <numFmt numFmtId="166" formatCode="$#,##0"/>
    <numFmt numFmtId="167" formatCode="$#,##0.00"/>
    <numFmt numFmtId="168" formatCode="0.0%"/>
    <numFmt numFmtId="169" formatCode="#,##0.0"/>
    <numFmt numFmtId="170" formatCode="$#,##0.0000"/>
    <numFmt numFmtId="171" formatCode="0.00x"/>
    <numFmt numFmtId="172" formatCode="$0.0000"/>
  </numFmts>
  <fonts count="6">
    <font>
      <name val="Calibri"/>
      <color theme="1"/>
      <sz val="11"/>
      <scheme val="minor"/>
    </font>
    <font>
      <name val="Carlito"/>
      <b val="1"/>
      <color rgb="FFFFFFFF"/>
      <sz val="16"/>
    </font>
    <font>
      <name val="Calibri"/>
      <color theme="1"/>
      <sz val="11"/>
    </font>
    <font>
      <name val="Carlito"/>
      <b val="1"/>
      <color rgb="FF1F2937"/>
      <sz val="11"/>
    </font>
    <font>
      <name val="Carlito"/>
      <color theme="1"/>
      <sz val="11"/>
    </font>
    <font>
      <name val="Carlito"/>
      <b val="1"/>
      <color rgb="FFFFFFFF"/>
      <sz val="11"/>
    </font>
  </fonts>
  <fills count="13">
    <fill>
      <patternFill/>
    </fill>
    <fill>
      <patternFill patternType="lightGray"/>
    </fill>
    <fill>
      <patternFill patternType="solid">
        <fgColor rgb="FF17365D"/>
        <bgColor rgb="FF17365D"/>
      </patternFill>
    </fill>
    <fill>
      <patternFill patternType="solid">
        <fgColor rgb="FFD9EAF7"/>
        <bgColor rgb="FFD9EAF7"/>
      </patternFill>
    </fill>
    <fill>
      <patternFill patternType="solid">
        <fgColor rgb="FF1F4E79"/>
        <bgColor rgb="FF1F4E79"/>
      </patternFill>
    </fill>
    <fill>
      <patternFill patternType="solid">
        <fgColor rgb="FF0F766E"/>
        <bgColor rgb="FF0F766E"/>
      </patternFill>
    </fill>
    <fill>
      <patternFill patternType="solid">
        <fgColor rgb="FF4F81BD"/>
        <bgColor rgb="FF4F81BD"/>
      </patternFill>
    </fill>
    <fill>
      <patternFill patternType="solid">
        <fgColor rgb="FF156082"/>
        <bgColor rgb="FF156082"/>
      </patternFill>
    </fill>
    <fill>
      <patternFill patternType="solid">
        <fgColor rgb="FFDBE5F1"/>
        <bgColor rgb="FFDBE5F1"/>
      </patternFill>
    </fill>
    <fill>
      <patternFill patternType="solid">
        <fgColor rgb="FFC1E4F5"/>
        <bgColor rgb="FFC1E4F5"/>
      </patternFill>
    </fill>
    <fill>
      <patternFill patternType="solid">
        <fgColor rgb="FFFFFFFF"/>
        <bgColor rgb="FFFFFFFF"/>
      </patternFill>
    </fill>
    <fill>
      <patternFill patternType="solid">
        <fgColor rgb="FFE2F0D9"/>
        <bgColor rgb="FFE2F0D9"/>
      </patternFill>
    </fill>
    <fill>
      <patternFill patternType="solid">
        <fgColor theme="0"/>
        <bgColor theme="0"/>
      </patternFill>
    </fill>
  </fills>
  <borders count="1">
    <border/>
  </borders>
  <cellStyleXfs count="1">
    <xf numFmtId="0" fontId="0" fillId="0" borderId="0"/>
  </cellStyleXfs>
  <cellXfs count="89">
    <xf numFmtId="0" fontId="0" fillId="0" borderId="0" applyAlignment="1" pivotButton="0" quotePrefix="0" xfId="0">
      <alignment vertical="bottom"/>
    </xf>
    <xf numFmtId="0" fontId="1" fillId="2" borderId="0" applyAlignment="1" pivotButton="0" quotePrefix="0" xfId="0">
      <alignment vertical="bottom" wrapText="1"/>
    </xf>
    <xf numFmtId="0" fontId="2" fillId="0" borderId="0" applyAlignment="1" pivotButton="0" quotePrefix="0" xfId="0">
      <alignment vertical="bottom"/>
    </xf>
    <xf numFmtId="0" fontId="2" fillId="0" borderId="0" applyAlignment="1" pivotButton="0" quotePrefix="0" xfId="0">
      <alignment vertical="bottom"/>
    </xf>
    <xf numFmtId="0" fontId="3" fillId="3" borderId="0" applyAlignment="1" pivotButton="0" quotePrefix="0" xfId="0">
      <alignment horizontal="center" vertical="bottom" wrapText="1"/>
    </xf>
    <xf numFmtId="0" fontId="4" fillId="0" borderId="0" applyAlignment="1" pivotButton="0" quotePrefix="0" xfId="0">
      <alignment vertical="bottom" wrapText="1"/>
    </xf>
    <xf numFmtId="0" fontId="5" fillId="4" borderId="0" applyAlignment="1" pivotButton="0" quotePrefix="0" xfId="0">
      <alignment vertical="bottom" wrapText="1"/>
    </xf>
    <xf numFmtId="0" fontId="5" fillId="5" borderId="0" applyAlignment="1" pivotButton="0" quotePrefix="0" xfId="0">
      <alignment horizontal="center" vertical="bottom" wrapText="1"/>
    </xf>
    <xf numFmtId="0" fontId="4" fillId="0" borderId="0" applyAlignment="1" pivotButton="0" quotePrefix="0" xfId="0">
      <alignment vertical="bottom" wrapText="1"/>
    </xf>
    <xf numFmtId="0" fontId="5" fillId="4" borderId="0" applyAlignment="1" pivotButton="0" quotePrefix="0" xfId="0">
      <alignment vertical="bottom" wrapText="1"/>
    </xf>
    <xf numFmtId="0" fontId="3" fillId="3" borderId="0" applyAlignment="1" pivotButton="0" quotePrefix="0" xfId="0">
      <alignment horizontal="center" vertical="bottom" wrapText="1"/>
    </xf>
    <xf numFmtId="0" fontId="1" fillId="2" borderId="0" applyAlignment="1" pivotButton="0" quotePrefix="0" xfId="0">
      <alignment vertical="bottom"/>
    </xf>
    <xf numFmtId="0" fontId="5" fillId="6" borderId="0" applyAlignment="1" pivotButton="0" quotePrefix="0" xfId="0">
      <alignment horizontal="center" vertical="bottom" wrapText="1"/>
    </xf>
    <xf numFmtId="0" fontId="5" fillId="7" borderId="0" applyAlignment="1" pivotButton="0" quotePrefix="0" xfId="0">
      <alignment horizontal="center" vertical="bottom" wrapText="1"/>
    </xf>
    <xf numFmtId="0" fontId="4" fillId="8" borderId="0" applyAlignment="1" pivotButton="0" quotePrefix="0" xfId="0">
      <alignment vertical="bottom" wrapText="1"/>
    </xf>
    <xf numFmtId="164" fontId="4" fillId="8" borderId="0" applyAlignment="1" pivotButton="0" quotePrefix="0" xfId="0">
      <alignment vertical="bottom" wrapText="1"/>
    </xf>
    <xf numFmtId="165" fontId="4" fillId="8" borderId="0" applyAlignment="1" pivotButton="0" quotePrefix="0" xfId="0">
      <alignment horizontal="right" vertical="bottom" wrapText="1"/>
    </xf>
    <xf numFmtId="165" fontId="4" fillId="9" borderId="0" applyAlignment="1" pivotButton="0" quotePrefix="0" xfId="0">
      <alignment horizontal="right" vertical="bottom" wrapText="1"/>
    </xf>
    <xf numFmtId="0" fontId="4" fillId="9" borderId="0" applyAlignment="1" pivotButton="0" quotePrefix="0" xfId="0">
      <alignment vertical="bottom" wrapText="1"/>
    </xf>
    <xf numFmtId="0" fontId="2" fillId="9" borderId="0" applyAlignment="1" pivotButton="0" quotePrefix="0" xfId="0">
      <alignment vertical="bottom"/>
    </xf>
    <xf numFmtId="0" fontId="4" fillId="10" borderId="0" applyAlignment="1" pivotButton="0" quotePrefix="0" xfId="0">
      <alignment vertical="bottom" wrapText="1"/>
    </xf>
    <xf numFmtId="164" fontId="4" fillId="10" borderId="0" applyAlignment="1" pivotButton="0" quotePrefix="0" xfId="0">
      <alignment vertical="bottom" wrapText="1"/>
    </xf>
    <xf numFmtId="165" fontId="4" fillId="10" borderId="0" applyAlignment="1" pivotButton="0" quotePrefix="0" xfId="0">
      <alignment horizontal="right" vertical="bottom" wrapText="1"/>
    </xf>
    <xf numFmtId="165" fontId="4" fillId="10" borderId="0" applyAlignment="1" pivotButton="0" quotePrefix="0" xfId="0">
      <alignment horizontal="right" vertical="bottom" wrapText="1"/>
    </xf>
    <xf numFmtId="0" fontId="4" fillId="10" borderId="0" applyAlignment="1" pivotButton="0" quotePrefix="0" xfId="0">
      <alignment vertical="bottom" wrapText="1"/>
    </xf>
    <xf numFmtId="0" fontId="2" fillId="10" borderId="0" applyAlignment="1" pivotButton="0" quotePrefix="0" xfId="0">
      <alignment vertical="bottom"/>
    </xf>
    <xf numFmtId="0" fontId="5" fillId="4" borderId="0" applyAlignment="1" pivotButton="0" quotePrefix="0" xfId="0">
      <alignment vertical="bottom"/>
    </xf>
    <xf numFmtId="0" fontId="1" fillId="2" borderId="0" applyAlignment="1" pivotButton="0" quotePrefix="0" xfId="0">
      <alignment vertical="bottom"/>
    </xf>
    <xf numFmtId="0" fontId="5" fillId="6" borderId="0" applyAlignment="1" pivotButton="0" quotePrefix="0" xfId="0">
      <alignment horizontal="center" vertical="bottom" wrapText="1"/>
    </xf>
    <xf numFmtId="0" fontId="4" fillId="9" borderId="0" applyAlignment="1" pivotButton="0" quotePrefix="0" xfId="0">
      <alignment vertical="bottom" wrapText="1"/>
    </xf>
    <xf numFmtId="1" fontId="4" fillId="9" borderId="0" applyAlignment="1" pivotButton="0" quotePrefix="0" xfId="0">
      <alignment horizontal="right" vertical="bottom" wrapText="1"/>
    </xf>
    <xf numFmtId="0" fontId="2" fillId="9" borderId="0" applyAlignment="1" pivotButton="0" quotePrefix="0" xfId="0">
      <alignment vertical="bottom"/>
    </xf>
    <xf numFmtId="0" fontId="4" fillId="10" borderId="0" applyAlignment="1" pivotButton="0" quotePrefix="0" xfId="0">
      <alignment vertical="bottom" wrapText="1"/>
    </xf>
    <xf numFmtId="1" fontId="4" fillId="10" borderId="0" applyAlignment="1" pivotButton="0" quotePrefix="0" xfId="0">
      <alignment horizontal="right" vertical="bottom" wrapText="1"/>
    </xf>
    <xf numFmtId="0" fontId="2" fillId="10" borderId="0" applyAlignment="1" pivotButton="0" quotePrefix="0" xfId="0">
      <alignment vertical="bottom"/>
    </xf>
    <xf numFmtId="1" fontId="2" fillId="10" borderId="0" applyAlignment="1" pivotButton="0" quotePrefix="0" xfId="0">
      <alignment vertical="bottom"/>
    </xf>
    <xf numFmtId="166" fontId="4" fillId="11" borderId="0" applyAlignment="1" pivotButton="0" quotePrefix="0" xfId="0">
      <alignment horizontal="right" vertical="bottom"/>
    </xf>
    <xf numFmtId="0" fontId="5" fillId="4" borderId="0" applyAlignment="1" pivotButton="0" quotePrefix="0" xfId="0">
      <alignment vertical="bottom"/>
    </xf>
    <xf numFmtId="167" fontId="4" fillId="11" borderId="0" applyAlignment="1" pivotButton="0" quotePrefix="0" xfId="0">
      <alignment horizontal="right" vertical="bottom"/>
    </xf>
    <xf numFmtId="168" fontId="4" fillId="11" borderId="0" applyAlignment="1" pivotButton="0" quotePrefix="0" xfId="0">
      <alignment horizontal="right" vertical="bottom"/>
    </xf>
    <xf numFmtId="168" fontId="4" fillId="11" borderId="0" applyAlignment="1" pivotButton="0" quotePrefix="0" xfId="0">
      <alignment vertical="bottom" wrapText="1"/>
    </xf>
    <xf numFmtId="0" fontId="4" fillId="11" borderId="0" applyAlignment="1" pivotButton="0" quotePrefix="0" xfId="0">
      <alignment horizontal="right" vertical="bottom"/>
    </xf>
    <xf numFmtId="0" fontId="2" fillId="12" borderId="0" applyAlignment="1" pivotButton="0" quotePrefix="0" xfId="0">
      <alignment vertical="bottom"/>
    </xf>
    <xf numFmtId="0" fontId="4" fillId="12" borderId="0" applyAlignment="1" pivotButton="0" quotePrefix="0" xfId="0">
      <alignment vertical="bottom" wrapText="1"/>
    </xf>
    <xf numFmtId="0" fontId="2" fillId="12" borderId="0" applyAlignment="1" pivotButton="0" quotePrefix="0" xfId="0">
      <alignment vertical="bottom"/>
    </xf>
    <xf numFmtId="0" fontId="5" fillId="6" borderId="0" applyAlignment="1" pivotButton="0" quotePrefix="0" xfId="0">
      <alignment horizontal="center" vertical="bottom" wrapText="1"/>
    </xf>
    <xf numFmtId="169" fontId="5" fillId="6" borderId="0" applyAlignment="1" pivotButton="0" quotePrefix="0" xfId="0">
      <alignment horizontal="center" vertical="bottom" wrapText="1"/>
    </xf>
    <xf numFmtId="170" fontId="5" fillId="6" borderId="0" applyAlignment="1" pivotButton="0" quotePrefix="0" xfId="0">
      <alignment horizontal="center" vertical="bottom" wrapText="1"/>
    </xf>
    <xf numFmtId="168" fontId="5" fillId="6" borderId="0" applyAlignment="1" pivotButton="0" quotePrefix="0" xfId="0">
      <alignment horizontal="center" vertical="bottom" wrapText="1"/>
    </xf>
    <xf numFmtId="2" fontId="5" fillId="6" borderId="0" applyAlignment="1" pivotButton="0" quotePrefix="0" xfId="0">
      <alignment horizontal="center" vertical="bottom" wrapText="1"/>
    </xf>
    <xf numFmtId="0" fontId="4" fillId="9" borderId="0" applyAlignment="1" pivotButton="0" quotePrefix="0" xfId="0">
      <alignment vertical="bottom" wrapText="1"/>
    </xf>
    <xf numFmtId="3" fontId="4" fillId="9" borderId="0" applyAlignment="1" pivotButton="0" quotePrefix="0" xfId="0">
      <alignment horizontal="right" vertical="bottom" wrapText="1"/>
    </xf>
    <xf numFmtId="169" fontId="4" fillId="9" borderId="0" applyAlignment="1" pivotButton="0" quotePrefix="0" xfId="0">
      <alignment vertical="bottom" wrapText="1"/>
    </xf>
    <xf numFmtId="170" fontId="4" fillId="9" borderId="0" applyAlignment="1" pivotButton="0" quotePrefix="0" xfId="0">
      <alignment vertical="bottom" wrapText="1"/>
    </xf>
    <xf numFmtId="165" fontId="4" fillId="9" borderId="0" applyAlignment="1" pivotButton="0" quotePrefix="0" xfId="0">
      <alignment horizontal="right" vertical="bottom" wrapText="1"/>
    </xf>
    <xf numFmtId="168" fontId="4" fillId="9" borderId="0" applyAlignment="1" pivotButton="0" quotePrefix="0" xfId="0">
      <alignment horizontal="right" vertical="bottom" wrapText="1"/>
    </xf>
    <xf numFmtId="171" fontId="4" fillId="9" borderId="0" applyAlignment="1" pivotButton="0" quotePrefix="0" xfId="0">
      <alignment horizontal="right" vertical="bottom" wrapText="1"/>
    </xf>
    <xf numFmtId="172" fontId="4" fillId="9" borderId="0" applyAlignment="1" pivotButton="0" quotePrefix="0" xfId="0">
      <alignment horizontal="right" vertical="bottom" wrapText="1"/>
    </xf>
    <xf numFmtId="167" fontId="4" fillId="9" borderId="0" applyAlignment="1" pivotButton="0" quotePrefix="0" xfId="0">
      <alignment horizontal="right" vertical="bottom" wrapText="1"/>
    </xf>
    <xf numFmtId="172" fontId="2" fillId="9" borderId="0" applyAlignment="1" pivotButton="0" quotePrefix="0" xfId="0">
      <alignment vertical="bottom"/>
    </xf>
    <xf numFmtId="168" fontId="2" fillId="9" borderId="0" applyAlignment="1" pivotButton="0" quotePrefix="0" xfId="0">
      <alignment vertical="bottom"/>
    </xf>
    <xf numFmtId="3" fontId="4" fillId="10" borderId="0" applyAlignment="1" pivotButton="0" quotePrefix="0" xfId="0">
      <alignment horizontal="right" vertical="bottom" wrapText="1"/>
    </xf>
    <xf numFmtId="169" fontId="4" fillId="10" borderId="0" applyAlignment="1" pivotButton="0" quotePrefix="0" xfId="0">
      <alignment vertical="bottom" wrapText="1"/>
    </xf>
    <xf numFmtId="170" fontId="4" fillId="10" borderId="0" applyAlignment="1" pivotButton="0" quotePrefix="0" xfId="0">
      <alignment vertical="bottom" wrapText="1"/>
    </xf>
    <xf numFmtId="168" fontId="4" fillId="10" borderId="0" applyAlignment="1" pivotButton="0" quotePrefix="0" xfId="0">
      <alignment horizontal="right" vertical="bottom" wrapText="1"/>
    </xf>
    <xf numFmtId="171" fontId="4" fillId="10" borderId="0" applyAlignment="1" pivotButton="0" quotePrefix="0" xfId="0">
      <alignment horizontal="right" vertical="bottom" wrapText="1"/>
    </xf>
    <xf numFmtId="172" fontId="4" fillId="10" borderId="0" applyAlignment="1" pivotButton="0" quotePrefix="0" xfId="0">
      <alignment horizontal="right" vertical="bottom" wrapText="1"/>
    </xf>
    <xf numFmtId="167" fontId="4" fillId="10" borderId="0" applyAlignment="1" pivotButton="0" quotePrefix="0" xfId="0">
      <alignment horizontal="right" vertical="bottom" wrapText="1"/>
    </xf>
    <xf numFmtId="172" fontId="2" fillId="10" borderId="0" applyAlignment="1" pivotButton="0" quotePrefix="0" xfId="0">
      <alignment vertical="bottom"/>
    </xf>
    <xf numFmtId="168" fontId="2" fillId="10" borderId="0" applyAlignment="1" pivotButton="0" quotePrefix="0" xfId="0">
      <alignment vertical="bottom"/>
    </xf>
    <xf numFmtId="0" fontId="2" fillId="10" borderId="0" applyAlignment="1" pivotButton="0" quotePrefix="0" xfId="0">
      <alignment vertical="bottom"/>
    </xf>
    <xf numFmtId="3" fontId="2" fillId="10" borderId="0" applyAlignment="1" pivotButton="0" quotePrefix="0" xfId="0">
      <alignment vertical="bottom"/>
    </xf>
    <xf numFmtId="169" fontId="2" fillId="10" borderId="0" applyAlignment="1" pivotButton="0" quotePrefix="0" xfId="0">
      <alignment vertical="bottom"/>
    </xf>
    <xf numFmtId="170" fontId="2" fillId="10" borderId="0" applyAlignment="1" pivotButton="0" quotePrefix="0" xfId="0">
      <alignment vertical="bottom"/>
    </xf>
    <xf numFmtId="165" fontId="2" fillId="10" borderId="0" applyAlignment="1" pivotButton="0" quotePrefix="0" xfId="0">
      <alignment vertical="bottom"/>
    </xf>
    <xf numFmtId="171" fontId="2" fillId="10" borderId="0" applyAlignment="1" pivotButton="0" quotePrefix="0" xfId="0">
      <alignment vertical="bottom"/>
    </xf>
    <xf numFmtId="167" fontId="2" fillId="10" borderId="0" applyAlignment="1" pivotButton="0" quotePrefix="0" xfId="0">
      <alignment vertical="bottom"/>
    </xf>
    <xf numFmtId="0" fontId="2" fillId="9" borderId="0" applyAlignment="1" pivotButton="0" quotePrefix="0" xfId="0">
      <alignment vertical="bottom"/>
    </xf>
    <xf numFmtId="3" fontId="2" fillId="9" borderId="0" applyAlignment="1" pivotButton="0" quotePrefix="0" xfId="0">
      <alignment vertical="bottom"/>
    </xf>
    <xf numFmtId="169" fontId="2" fillId="9" borderId="0" applyAlignment="1" pivotButton="0" quotePrefix="0" xfId="0">
      <alignment vertical="bottom"/>
    </xf>
    <xf numFmtId="170" fontId="2" fillId="9" borderId="0" applyAlignment="1" pivotButton="0" quotePrefix="0" xfId="0">
      <alignment vertical="bottom"/>
    </xf>
    <xf numFmtId="165" fontId="2" fillId="9" borderId="0" applyAlignment="1" pivotButton="0" quotePrefix="0" xfId="0">
      <alignment vertical="bottom"/>
    </xf>
    <xf numFmtId="171" fontId="2" fillId="9" borderId="0" applyAlignment="1" pivotButton="0" quotePrefix="0" xfId="0">
      <alignment vertical="bottom"/>
    </xf>
    <xf numFmtId="167" fontId="2" fillId="9" borderId="0" applyAlignment="1" pivotButton="0" quotePrefix="0" xfId="0">
      <alignment vertical="bottom"/>
    </xf>
    <xf numFmtId="169" fontId="2" fillId="0" borderId="0" applyAlignment="1" pivotButton="0" quotePrefix="0" xfId="0">
      <alignment vertical="bottom"/>
    </xf>
    <xf numFmtId="170" fontId="2" fillId="0" borderId="0" applyAlignment="1" pivotButton="0" quotePrefix="0" xfId="0">
      <alignment vertical="bottom"/>
    </xf>
    <xf numFmtId="168" fontId="2" fillId="0" borderId="0" applyAlignment="1" pivotButton="0" quotePrefix="0" xfId="0">
      <alignment vertical="bottom"/>
    </xf>
    <xf numFmtId="2" fontId="2" fillId="0" borderId="0" applyAlignment="1" pivotButton="0" quotePrefix="0" xfId="0">
      <alignment vertical="bottom"/>
    </xf>
    <xf numFmtId="0" fontId="0" fillId="0" borderId="0" pivotButton="0" quotePrefix="0" xfId="0"/>
  </cellXfs>
  <cellStyles count="1">
    <cellStyle name="Normal" xfId="0" builtinId="0"/>
  </cellStyles>
  <dxfs count="6">
    <dxf>
      <font/>
      <fill>
        <patternFill/>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font/>
      <fill>
        <patternFill patternType="solid">
          <fgColor rgb="FFC1E4F5"/>
          <bgColor rgb="FFC1E4F5"/>
        </patternFill>
      </fill>
      <border/>
    </dxf>
    <dxf>
      <font/>
      <fill>
        <patternFill patternType="solid">
          <fgColor rgb="FFF4CCCC"/>
          <bgColor rgb="FFF4CCCC"/>
        </patternFill>
      </fill>
      <border/>
    </dxf>
  </dxfs>
  <tableStyles count="4" defaultTableStyle="TableStyleMedium9" defaultPivotStyle="PivotStyleLight16">
    <tableStyle name="Pricing Reference-style" pivot="0" count="3">
      <tableStyleElement type="headerRow" dxfId="1"/>
      <tableStyleElement type="firstRowStripe" dxfId="2"/>
      <tableStyleElement type="secondRowStripe" dxfId="3"/>
    </tableStyle>
    <tableStyle name="Cadence Reference-style" pivot="0" count="3">
      <tableStyleElement type="headerRow" dxfId="1"/>
      <tableStyleElement type="firstRowStripe" dxfId="4"/>
      <tableStyleElement type="secondRowStripe" dxfId="3"/>
    </tableStyle>
    <tableStyle name="Token Math Template-style" pivot="0" count="3">
      <tableStyleElement type="headerRow" dxfId="1"/>
      <tableStyleElement type="firstRowStripe" dxfId="2"/>
      <tableStyleElement type="secondRowStripe" dxfId="3"/>
    </tableStyle>
    <tableStyle name="Scenario Analysis-style" pivot="0" count="3">
      <tableStyleElement type="headerRow" dxfId="1"/>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Table_1" displayName="Table_1" ref="A4:E8" headerRowCount="1">
  <tableColumns count="5">
    <tableColumn id="1" name="Provider"/>
    <tableColumn id="2" name="Model"/>
    <tableColumn id="3" name="Intended use guidance"/>
    <tableColumn id="4" name="Input $/1M"/>
    <tableColumn id="5" name="Output $/1M"/>
  </tableColumns>
  <tableStyleInfo name="Pricing Reference-style" showFirstColumn="1" showLastColumn="1" showRowStripes="1" showColumnStripes="0"/>
</table>
</file>

<file path=xl/tables/table2.xml><?xml version="1.0" encoding="utf-8"?>
<table xmlns="http://schemas.openxmlformats.org/spreadsheetml/2006/main" id="2" name="Table_2" displayName="Table_2" ref="A4:D12" headerRowCount="1">
  <tableColumns count="4">
    <tableColumn id="1" name="Cadence"/>
    <tableColumn id="2" name="Annualization factor"/>
    <tableColumn id="3" name="Use when"/>
    <tableColumn id="4" name="Candidate notes"/>
  </tableColumns>
  <tableStyleInfo name="Cadence Reference-style" showFirstColumn="1" showLastColumn="1" showRowStripes="1" showColumnStripes="0"/>
</table>
</file>

<file path=xl/tables/table3.xml><?xml version="1.0" encoding="utf-8"?>
<table xmlns="http://schemas.openxmlformats.org/spreadsheetml/2006/main" id="3" name="Table_3" displayName="Table_3" ref="A11:O91" headerRowCount="0">
  <tableColumns count="15">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s>
  <tableStyleInfo name="Token Math Template-style" showFirstColumn="1" showLastColumn="1" showRowStripes="1" showColumnStripes="0"/>
</table>
</file>

<file path=xl/tables/table4.xml><?xml version="1.0" encoding="utf-8"?>
<table xmlns="http://schemas.openxmlformats.org/spreadsheetml/2006/main" id="4" name="Table_4" displayName="Table_4" ref="A4:H8" headerRowCount="1">
  <tableColumns count="8">
    <tableColumn id="1" name="Scenario"/>
    <tableColumn id="2" name="Volume multiplier"/>
    <tableColumn id="3" name="Token-size multiplier"/>
    <tableColumn id="4" name="Model price multiplier"/>
    <tableColumn id="5" name="QA/retry multiplier"/>
    <tableColumn id="6" name="Estimated annual cost"/>
    <tableColumn id="7" name="Budget utilization"/>
    <tableColumn id="8" name="Rationale"/>
  </tableColumns>
  <tableStyleInfo name="Scenario Analysi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24" customWidth="1" style="88" min="1" max="1"/>
    <col width="110" customWidth="1" style="88" min="2" max="2"/>
    <col width="8.710000000000001" customWidth="1" style="88" min="3" max="26"/>
  </cols>
  <sheetData>
    <row r="1" ht="21.75" customHeight="1" s="88">
      <c r="A1" s="1" t="inlineStr">
        <is>
          <t>AI System Design Assessment: Candidate Token Math Workbook</t>
        </is>
      </c>
      <c r="I1" s="3" t="n"/>
      <c r="J1" s="3" t="n"/>
      <c r="K1" s="3" t="n"/>
      <c r="L1" s="3" t="n"/>
      <c r="M1" s="3" t="n"/>
      <c r="N1" s="3" t="n"/>
      <c r="O1" s="3" t="n"/>
      <c r="P1" s="3" t="n"/>
      <c r="Q1" s="3" t="n"/>
      <c r="R1" s="3" t="n"/>
      <c r="S1" s="3" t="n"/>
      <c r="T1" s="3" t="n"/>
      <c r="U1" s="3" t="n"/>
      <c r="V1" s="3" t="n"/>
      <c r="W1" s="3" t="n"/>
      <c r="X1" s="3" t="n"/>
      <c r="Y1" s="3" t="n"/>
      <c r="Z1" s="3" t="n"/>
    </row>
    <row r="2" ht="21.75" customHeight="1" s="88">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0" t="inlineStr">
        <is>
          <t>Purpose</t>
        </is>
      </c>
      <c r="B3" s="8" t="inlineStr">
        <is>
          <t>Build a defensible annual token-cost model for an AI system using OpenAI and/or Anthropic models where appropriate. Estimate annual token spend against a fixed $50,000/year token budget.</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0" t="inlineStr">
        <is>
          <t>Important</t>
        </is>
      </c>
      <c r="B4" s="8" t="inlineStr">
        <is>
          <t>You do not need to spend the full budget. If utilization is low, explain why the design is efficient or what workload may be missing. If utilization is high, explain the operational value and risk controls.</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0" t="inlineStr">
        <is>
          <t>Deliverable</t>
        </is>
      </c>
      <c r="B5" s="8" t="inlineStr">
        <is>
          <t>Complete the Token Math Template, Candidate Assumptions, and Scenario Analysis tabs. Leave formulas intact.</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0" t="inlineStr">
        <is>
          <t>Math requirements</t>
        </is>
      </c>
      <c r="B6" s="8" t="inlineStr">
        <is>
          <t>Use cadence-aware annualization, separate input/output token pricing, explicit retry/recheck assumptions, and QA/evaluation overhead.</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0" t="inlineStr">
        <is>
          <t>Model routing</t>
        </is>
      </c>
      <c r="B7" s="8" t="inlineStr">
        <is>
          <t>Use cheaper models for high-volume/simple tasks and stronger models for complex reasoning, drafting, escalation, or evaluation. Explain why OpenAI or Anthropic is appropriate for each major workflow.</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0" t="inlineStr">
        <is>
          <t>Pricing</t>
        </is>
      </c>
      <c r="B8" s="8" t="inlineStr">
        <is>
          <t>The Pricing Reference tab includes official-source pricing as of the effective date. You may update it if prices have changed; cite any updated source in the sheet.</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21.75" customHeight="1" s="88">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21.75" customHeight="1" s="88">
      <c r="A10" s="9" t="inlineStr">
        <is>
          <t>What we evaluate</t>
        </is>
      </c>
      <c r="I10" s="3" t="n"/>
      <c r="J10" s="3" t="n"/>
      <c r="K10" s="3" t="n"/>
      <c r="L10" s="3" t="n"/>
      <c r="M10" s="3" t="n"/>
      <c r="N10" s="3" t="n"/>
      <c r="O10" s="3" t="n"/>
      <c r="P10" s="3" t="n"/>
      <c r="Q10" s="3" t="n"/>
      <c r="R10" s="3" t="n"/>
      <c r="S10" s="3" t="n"/>
      <c r="T10" s="3" t="n"/>
      <c r="U10" s="3" t="n"/>
      <c r="V10" s="3" t="n"/>
      <c r="W10" s="3" t="n"/>
      <c r="X10" s="3" t="n"/>
      <c r="Y10" s="3" t="n"/>
      <c r="Z10" s="3" t="n"/>
    </row>
    <row r="11" ht="21.75" customHeight="1" s="88">
      <c r="A11" s="7" t="inlineStr">
        <is>
          <t>Competency</t>
        </is>
      </c>
      <c r="B11" s="7" t="inlineStr">
        <is>
          <t>Strong response looks like</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21.75" customHeight="1" s="88">
      <c r="A12" s="8" t="inlineStr">
        <is>
          <t>Mathematical soundness</t>
        </is>
      </c>
      <c r="B12" s="8" t="inlineStr">
        <is>
          <t>Correct token units, input/output prices, cadence factors, annualization, and no hidden constants.</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21.75" customHeight="1" s="88">
      <c r="A13" s="8" t="inlineStr">
        <is>
          <t>System design judgment</t>
        </is>
      </c>
      <c r="B13" s="8" t="inlineStr">
        <is>
          <t>Breaks the AI system into realistic workflows rather than one generic model call.</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21.75" customHeight="1" s="88">
      <c r="A14" s="8" t="inlineStr">
        <is>
          <t>Model routing</t>
        </is>
      </c>
      <c r="B14" s="8" t="inlineStr">
        <is>
          <t>Cheap models for high-volume triage; stronger models only for complex reasoning or escalations.</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21.75" customHeight="1" s="88">
      <c r="A15" s="8" t="inlineStr">
        <is>
          <t>Budget reasoning</t>
        </is>
      </c>
      <c r="B15" s="8" t="inlineStr">
        <is>
          <t>Explains whether utilization is realistic; does not inflate spend just to hit $50,000.</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21.75" customHeight="1" s="88">
      <c r="A16" s="8" t="inlineStr">
        <is>
          <t>Assumptions</t>
        </is>
      </c>
      <c r="B16" s="8" t="inlineStr">
        <is>
          <t>Documents volume, context size, output size, retry/recheck, QA/eval, and caching/batch decisions.</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21.75" customHeight="1" s="88">
      <c r="A17" s="8" t="inlineStr">
        <is>
          <t>Sensitivity analysis</t>
        </is>
      </c>
      <c r="B17" s="8" t="inlineStr">
        <is>
          <t>Includes base, scaled, and stress cases with defensible multipliers.</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21.75" customHeight="1" s="8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21.75" customHeight="1" s="88">
      <c r="A19" s="9" t="inlineStr">
        <is>
          <t>Candidate instructions</t>
        </is>
      </c>
      <c r="I19" s="3" t="n"/>
      <c r="J19" s="3" t="n"/>
      <c r="K19" s="3" t="n"/>
      <c r="L19" s="3" t="n"/>
      <c r="M19" s="3" t="n"/>
      <c r="N19" s="3" t="n"/>
      <c r="O19" s="3" t="n"/>
      <c r="P19" s="3" t="n"/>
      <c r="Q19" s="3" t="n"/>
      <c r="R19" s="3" t="n"/>
      <c r="S19" s="3" t="n"/>
      <c r="T19" s="3" t="n"/>
      <c r="U19" s="3" t="n"/>
      <c r="V19" s="3" t="n"/>
      <c r="W19" s="3" t="n"/>
      <c r="X19" s="3" t="n"/>
      <c r="Y19" s="3" t="n"/>
      <c r="Z19" s="3" t="n"/>
    </row>
    <row r="20">
      <c r="A20" s="10" t="inlineStr">
        <is>
          <t>1</t>
        </is>
      </c>
      <c r="B20" s="8" t="inlineStr">
        <is>
          <t>Define AI workflow components in the Token Math Template. Include monitoring, prioritization, inbound issue handling, check-ins, quality review, interventions, escalation, memory/retrieval, and evaluation/QA.</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88">
      <c r="A21" s="10" t="inlineStr">
        <is>
          <t>2</t>
        </is>
      </c>
      <c r="B21" s="8" t="inlineStr">
        <is>
          <t>For each component, estimate runs per cadence, cadence, input/output tokens per run, model choice, retry/recheck rate, and QA multiplier.</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88">
      <c r="A22" s="10" t="inlineStr">
        <is>
          <t>3</t>
        </is>
      </c>
      <c r="B22" s="8" t="inlineStr">
        <is>
          <t>Use the notes column to justify assumptions. Rows without assumptions may be treated as incomplete.</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88">
      <c r="A23" s="10" t="inlineStr">
        <is>
          <t>4</t>
        </is>
      </c>
      <c r="B23" s="8" t="inlineStr">
        <is>
          <t>Complete the Candidate Assumptions tab with your rationale for volume, model routing, context size, retry/QA overhead, and budget utilization.</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88">
      <c r="A24" s="10" t="inlineStr">
        <is>
          <t>5</t>
        </is>
      </c>
      <c r="B24" s="8" t="inlineStr">
        <is>
          <t>Complete Scenario Analysis for at least Base, Scaled, and Stress cases.</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88">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88">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88">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88">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88">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88">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88">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88">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88">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88">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88">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88">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88">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8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88">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88">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88">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88">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88">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88">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88">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88">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88">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8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88">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88">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88">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88">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88">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88">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88">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88">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88">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8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88">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88">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88">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88">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88">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88">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88">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88">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88">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8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88">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88">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88">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88">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88">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88">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88">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88">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88">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8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88">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88">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88">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88">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88">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88">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88">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88">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88">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88">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88">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88">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88">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88">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88">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88">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88">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88">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8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88">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88">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88">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88">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88">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88">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88">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88">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88">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8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88">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88">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88">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88">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88">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88">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88">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88">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88">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8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88">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88">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88">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88">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88">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88">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88">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88">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88">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8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88">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88">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88">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88">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88">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88">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88">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88">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88">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8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88">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88">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88">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88">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88">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88">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88">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88">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88">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8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88">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88">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88">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88">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88">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88">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88">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88">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88">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8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88">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88">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88">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88">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88">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88">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88">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88">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88">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8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88">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88">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88">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88">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88">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88">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88">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88">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88">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8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88">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88">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88">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88">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88">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88">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88">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88">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88">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88">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88">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88">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88">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88">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88">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88">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88">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88">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8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88">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88">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88">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88">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88">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88">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88">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88">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88">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8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88">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88">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88">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88">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88">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88">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88">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88">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88">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8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88">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88">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88">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88">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88">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88">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88">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88">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88">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8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88">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88">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88">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88">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88">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88">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88">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88">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88">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8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88">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88">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88">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88">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88">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88">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88">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88">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88">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8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88">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88">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88">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88">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88">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88">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88">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88">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88">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8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88">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88">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88">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88">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88">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88">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88">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88">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88">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8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88">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88">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88">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88">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88">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88">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88">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88">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88">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8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88">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88">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88">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88">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88">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88">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88">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88">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88">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88">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88">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88">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88">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88">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88">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88">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88">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88">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8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88">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88">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88">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88">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88">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88">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88">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88">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88">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8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88">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88">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88">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88">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88">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88">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88">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88">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88">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8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88">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88">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88">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88">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88">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88">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88">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88">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88">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8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88">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88">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88">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88">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88">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88">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88">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88">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88">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8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88">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88">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88">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88">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88">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88">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88">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88">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88">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8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88">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88">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88">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88">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88">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88">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88">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88">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88">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8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88">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88">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88">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88">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88">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88">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88">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88">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88">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8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88">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88">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88">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88">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88">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88">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88">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88">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88">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8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88">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88">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88">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88">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88">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88">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88">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88">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88">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88">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88">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88">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88">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88">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88">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88">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88">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88">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8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88">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88">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88">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88">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88">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88">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88">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88">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88">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8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88">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88">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88">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88">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88">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88">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88">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88">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88">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8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88">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88">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88">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88">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88">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88">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88">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88">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88">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8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88">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88">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88">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88">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88">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88">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88">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88">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88">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8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88">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88">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88">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88">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88">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88">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88">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88">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88">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8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88">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88">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88">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88">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88">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88">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88">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88">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88">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8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88">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88">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88">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88">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88">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88">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88">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88">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88">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8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88">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88">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88">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88">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88">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88">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88">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88">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88">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8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88">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88">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88">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88">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88">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88">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88">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88">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88">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88">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88">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88">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88">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88">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88">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88">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88">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88">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8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88">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88">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88">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88">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88">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88">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88">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88">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88">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8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88">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88">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88">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88">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88">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88">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88">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88">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88">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8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88">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88">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88">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88">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88">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88">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88">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88">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88">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8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88">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88">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88">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88">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88">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88">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88">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88">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88">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8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88">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88">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88">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88">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88">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88">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88">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88">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88">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8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88">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88">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88">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88">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88">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88">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88">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88">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88">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8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88">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88">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88">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88">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88">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88">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88">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88">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88">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8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88">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88">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88">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88">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88">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88">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88">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88">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88">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8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88">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88">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88">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88">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88">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88">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88">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88">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88">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88">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88">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88">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88">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88">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88">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88">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88">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88">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8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88">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88">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88">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88">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88">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88">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88">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88">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88">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8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88">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88">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88">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88">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88">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88">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88">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88">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88">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8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88">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88">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88">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88">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88">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88">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88">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88">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88">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8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88">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88">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88">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88">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88">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88">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88">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88">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88">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8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88">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88">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88">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88">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88">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88">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88">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88">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88">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8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88">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88">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88">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88">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88">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88">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88">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88">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88">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8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88">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88">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88">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88">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88">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88">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88">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88">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88">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8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88">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88">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88">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88">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88">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88">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88">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88">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88">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8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88">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88">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88">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88">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88">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88">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88">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88">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88">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88">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88">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88">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88">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88">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88">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88">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88">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88">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8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88">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88">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88">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88">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88">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88">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88">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88">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88">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8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88">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88">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88">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88">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88">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88">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88">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88">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88">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8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88">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88">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88">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88">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88">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88">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88">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88">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88">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8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88">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88">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88">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88">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88">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88">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88">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88">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88">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8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88">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88">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88">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88">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88">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88">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88">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88">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88">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8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88">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88">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88">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88">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88">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88">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88">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88">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88">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8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88">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88">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88">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88">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88">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88">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88">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88">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88">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8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88">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88">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88">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88">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88">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88">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88">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88">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88">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8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88">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88">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88">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88">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88">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88">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88">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88">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88">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88">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88">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88">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88">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88">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88">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88">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88">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88">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8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88">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88">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88">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88">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88">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88">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88">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88">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88">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8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88">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88">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88">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88">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88">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88">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88">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88">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88">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8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88">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88">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88">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88">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88">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88">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88">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88">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88">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8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88">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88">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88">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88">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88">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88">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88">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88">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88">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8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88">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88">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88">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88">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88">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88">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88">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88">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88">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8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88">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88">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88">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88">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88">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88">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88">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88">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88">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8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88">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88">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88">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88">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88">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88">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88">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88">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88">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8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88">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88">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88">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88">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88">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88">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88">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88">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88">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8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88">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88">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88">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88">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88">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88">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88">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88">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88">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88">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88">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88">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88">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88">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88">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88">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88">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88">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8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88">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88">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88">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88">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88">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88">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88">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88">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88">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8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88">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88">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88">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88">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88">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88">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88">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88">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88">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8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88">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88">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88">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88">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88">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88">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88">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88">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88">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8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88">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88">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88">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88">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88">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88">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88">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88">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88">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8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88">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88">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88">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88">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88">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88">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88">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88">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88">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8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88">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88">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88">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88">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88">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88">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88">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88">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88">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8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88">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88">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88">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88">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88">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88">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88">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88">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88">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8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88">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88">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88">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88">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88">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88">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88">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88">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88">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8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88">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88">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88">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88">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88">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88">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88">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88">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88">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88">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88">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88">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88">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88">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88">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88">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88">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88">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8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88">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88">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3">
    <mergeCell ref="A1:H1"/>
    <mergeCell ref="A19:H19"/>
    <mergeCell ref="A10:H10"/>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24" customWidth="1" style="88" min="1" max="1"/>
    <col width="44" customWidth="1" style="88" min="2" max="2"/>
    <col width="18" customWidth="1" style="88" min="3" max="3"/>
    <col width="19" customWidth="1" style="88" min="4" max="4"/>
    <col width="35" customWidth="1" style="88" min="5" max="5"/>
    <col width="8.710000000000001" customWidth="1" style="88" min="6" max="26"/>
  </cols>
  <sheetData>
    <row r="1">
      <c r="A1" s="27" t="inlineStr">
        <is>
          <t>Pricing Reference - OpenAI and Anthropic</t>
        </is>
      </c>
      <c r="J1" s="3" t="n"/>
      <c r="K1" s="3" t="n"/>
      <c r="L1" s="3" t="n"/>
      <c r="M1" s="3" t="n"/>
      <c r="N1" s="3" t="n"/>
      <c r="O1" s="3" t="n"/>
      <c r="P1" s="3" t="n"/>
      <c r="Q1" s="3" t="n"/>
      <c r="R1" s="3" t="n"/>
      <c r="S1" s="3" t="n"/>
      <c r="T1" s="3" t="n"/>
      <c r="U1" s="3" t="n"/>
      <c r="V1" s="3" t="n"/>
      <c r="W1" s="3" t="n"/>
      <c r="X1" s="3" t="n"/>
      <c r="Y1" s="3" t="n"/>
      <c r="Z1" s="3" t="n"/>
    </row>
    <row r="2">
      <c r="A2" s="8" t="inlineStr">
        <is>
          <t>Prices are USD per 1,000,000 tokens unless noted. Candidates may update pricing if they cite a newer official source and effective date.</t>
        </is>
      </c>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45" t="inlineStr">
        <is>
          <t>Provider</t>
        </is>
      </c>
      <c r="B4" s="45" t="inlineStr">
        <is>
          <t>Model</t>
        </is>
      </c>
      <c r="C4" s="45" t="inlineStr">
        <is>
          <t>Intended use guidance</t>
        </is>
      </c>
      <c r="D4" s="45" t="inlineStr">
        <is>
          <t>Input $/1M</t>
        </is>
      </c>
      <c r="E4" s="45" t="inlineStr">
        <is>
          <t>Output $/1M</t>
        </is>
      </c>
      <c r="F4" s="13" t="inlineStr">
        <is>
          <t>Cached input $/1M</t>
        </is>
      </c>
      <c r="G4" s="13" t="inlineStr">
        <is>
          <t>Source URL</t>
        </is>
      </c>
      <c r="H4" s="13" t="inlineStr">
        <is>
          <t>Effective date</t>
        </is>
      </c>
      <c r="I4" s="13" t="inlineStr">
        <is>
          <t>Candidate notes</t>
        </is>
      </c>
      <c r="J4" s="3" t="n"/>
      <c r="K4" s="3" t="n"/>
      <c r="L4" s="3" t="n"/>
      <c r="M4" s="3" t="n"/>
      <c r="N4" s="3" t="n"/>
      <c r="O4" s="3" t="n"/>
      <c r="P4" s="3" t="n"/>
      <c r="Q4" s="3" t="n"/>
      <c r="R4" s="3" t="n"/>
      <c r="S4" s="3" t="n"/>
      <c r="T4" s="3" t="n"/>
      <c r="U4" s="3" t="n"/>
      <c r="V4" s="3" t="n"/>
      <c r="W4" s="3" t="n"/>
      <c r="X4" s="3" t="n"/>
      <c r="Y4" s="3" t="n"/>
      <c r="Z4" s="3" t="n"/>
    </row>
    <row r="5">
      <c r="A5" s="14" t="inlineStr">
        <is>
          <t>OpenAI</t>
        </is>
      </c>
      <c r="B5" s="14" t="inlineStr">
        <is>
          <t>GPT-5.5</t>
        </is>
      </c>
      <c r="C5" s="15" t="inlineStr">
        <is>
          <t>Frontier reasoning, complex coding, high-stakes multi-step professional work</t>
        </is>
      </c>
      <c r="D5" s="16" t="n">
        <v>5</v>
      </c>
      <c r="E5" s="16" t="n">
        <v>30</v>
      </c>
      <c r="F5" s="54" t="n">
        <v>0.5</v>
      </c>
      <c r="G5" s="50" t="inlineStr">
        <is>
          <t>https://openai.com/api/pricing/</t>
        </is>
      </c>
      <c r="H5" s="50" t="inlineStr">
        <is>
          <t>2026-05-17</t>
        </is>
      </c>
      <c r="I5" s="77" t="n"/>
      <c r="J5" s="3" t="n"/>
      <c r="K5" s="3" t="n"/>
      <c r="L5" s="3" t="n"/>
      <c r="M5" s="3" t="n"/>
      <c r="N5" s="3" t="n"/>
      <c r="O5" s="3" t="n"/>
      <c r="P5" s="3" t="n"/>
      <c r="Q5" s="3" t="n"/>
      <c r="R5" s="3" t="n"/>
      <c r="S5" s="3" t="n"/>
      <c r="T5" s="3" t="n"/>
      <c r="U5" s="3" t="n"/>
      <c r="V5" s="3" t="n"/>
      <c r="W5" s="3" t="n"/>
      <c r="X5" s="3" t="n"/>
      <c r="Y5" s="3" t="n"/>
      <c r="Z5" s="3" t="n"/>
    </row>
    <row r="6">
      <c r="A6" s="32" t="inlineStr">
        <is>
          <t>OpenAI</t>
        </is>
      </c>
      <c r="B6" s="32" t="inlineStr">
        <is>
          <t>GPT-5.4</t>
        </is>
      </c>
      <c r="C6" s="21" t="inlineStr">
        <is>
          <t>Strong general reasoning/coding; use selectively for complex workflow stages</t>
        </is>
      </c>
      <c r="D6" s="23" t="n">
        <v>2.5</v>
      </c>
      <c r="E6" s="23" t="n">
        <v>15</v>
      </c>
      <c r="F6" s="23" t="n">
        <v>0.25</v>
      </c>
      <c r="G6" s="32" t="inlineStr">
        <is>
          <t>https://openai.com/api/pricing/</t>
        </is>
      </c>
      <c r="H6" s="32" t="inlineStr">
        <is>
          <t>2026-05-17</t>
        </is>
      </c>
      <c r="I6" s="70" t="n"/>
      <c r="J6" s="3" t="n"/>
      <c r="K6" s="3" t="n"/>
      <c r="L6" s="3" t="n"/>
      <c r="M6" s="3" t="n"/>
      <c r="N6" s="3" t="n"/>
      <c r="O6" s="3" t="n"/>
      <c r="P6" s="3" t="n"/>
      <c r="Q6" s="3" t="n"/>
      <c r="R6" s="3" t="n"/>
      <c r="S6" s="3" t="n"/>
      <c r="T6" s="3" t="n"/>
      <c r="U6" s="3" t="n"/>
      <c r="V6" s="3" t="n"/>
      <c r="W6" s="3" t="n"/>
      <c r="X6" s="3" t="n"/>
      <c r="Y6" s="3" t="n"/>
      <c r="Z6" s="3" t="n"/>
    </row>
    <row r="7">
      <c r="A7" s="14" t="inlineStr">
        <is>
          <t>OpenAI</t>
        </is>
      </c>
      <c r="B7" s="14" t="inlineStr">
        <is>
          <t>GPT-5.4 mini</t>
        </is>
      </c>
      <c r="C7" s="15" t="inlineStr">
        <is>
          <t>Cost-conscious reasoning, subagents, standard drafting, triage-plus workflows</t>
        </is>
      </c>
      <c r="D7" s="16" t="n">
        <v>0.75</v>
      </c>
      <c r="E7" s="16" t="n">
        <v>4.5</v>
      </c>
      <c r="F7" s="54" t="n">
        <v>0.075</v>
      </c>
      <c r="G7" s="50" t="inlineStr">
        <is>
          <t>https://openai.com/api/pricing/</t>
        </is>
      </c>
      <c r="H7" s="50" t="inlineStr">
        <is>
          <t>2026-05-17</t>
        </is>
      </c>
      <c r="I7" s="77" t="n"/>
      <c r="J7" s="3" t="n"/>
      <c r="K7" s="3" t="n"/>
      <c r="L7" s="3" t="n"/>
      <c r="M7" s="3" t="n"/>
      <c r="N7" s="3" t="n"/>
      <c r="O7" s="3" t="n"/>
      <c r="P7" s="3" t="n"/>
      <c r="Q7" s="3" t="n"/>
      <c r="R7" s="3" t="n"/>
      <c r="S7" s="3" t="n"/>
      <c r="T7" s="3" t="n"/>
      <c r="U7" s="3" t="n"/>
      <c r="V7" s="3" t="n"/>
      <c r="W7" s="3" t="n"/>
      <c r="X7" s="3" t="n"/>
      <c r="Y7" s="3" t="n"/>
      <c r="Z7" s="3" t="n"/>
    </row>
    <row r="8">
      <c r="A8" s="32" t="inlineStr">
        <is>
          <t>OpenAI</t>
        </is>
      </c>
      <c r="B8" s="32" t="inlineStr">
        <is>
          <t>text-embedding-3-small</t>
        </is>
      </c>
      <c r="C8" s="21" t="inlineStr">
        <is>
          <t>Low-cost semantic search, memory/retrieval indexing, RAG embeddings</t>
        </is>
      </c>
      <c r="D8" s="23" t="n">
        <v>0.02</v>
      </c>
      <c r="E8" s="23" t="n">
        <v>0</v>
      </c>
      <c r="F8" s="23" t="n">
        <v>0</v>
      </c>
      <c r="G8" s="32" t="inlineStr">
        <is>
          <t>https://developers.openai.com/api/docs/models/text-embedding-3-small</t>
        </is>
      </c>
      <c r="H8" s="32" t="inlineStr">
        <is>
          <t>2026-05-17</t>
        </is>
      </c>
      <c r="I8" s="70" t="n"/>
      <c r="J8" s="3" t="n"/>
      <c r="K8" s="3" t="n"/>
      <c r="L8" s="3" t="n"/>
      <c r="M8" s="3" t="n"/>
      <c r="N8" s="3" t="n"/>
      <c r="O8" s="3" t="n"/>
      <c r="P8" s="3" t="n"/>
      <c r="Q8" s="3" t="n"/>
      <c r="R8" s="3" t="n"/>
      <c r="S8" s="3" t="n"/>
      <c r="T8" s="3" t="n"/>
      <c r="U8" s="3" t="n"/>
      <c r="V8" s="3" t="n"/>
      <c r="W8" s="3" t="n"/>
      <c r="X8" s="3" t="n"/>
      <c r="Y8" s="3" t="n"/>
      <c r="Z8" s="3" t="n"/>
    </row>
    <row r="9">
      <c r="A9" s="50" t="inlineStr">
        <is>
          <t>OpenAI</t>
        </is>
      </c>
      <c r="B9" s="50" t="inlineStr">
        <is>
          <t>text-embedding-3-large</t>
        </is>
      </c>
      <c r="C9" s="50" t="inlineStr">
        <is>
          <t>Higher-quality semantic search / retrieval where embedding quality is critical</t>
        </is>
      </c>
      <c r="D9" s="54" t="n">
        <v>0.13</v>
      </c>
      <c r="E9" s="54" t="n">
        <v>0</v>
      </c>
      <c r="F9" s="54" t="n">
        <v>0</v>
      </c>
      <c r="G9" s="50" t="inlineStr">
        <is>
          <t>https://developers.openai.com/api/docs/models/text-embedding-3-small</t>
        </is>
      </c>
      <c r="H9" s="50" t="inlineStr">
        <is>
          <t>2026-05-17</t>
        </is>
      </c>
      <c r="I9" s="77" t="n"/>
      <c r="J9" s="3" t="n"/>
      <c r="K9" s="3" t="n"/>
      <c r="L9" s="3" t="n"/>
      <c r="M9" s="3" t="n"/>
      <c r="N9" s="3" t="n"/>
      <c r="O9" s="3" t="n"/>
      <c r="P9" s="3" t="n"/>
      <c r="Q9" s="3" t="n"/>
      <c r="R9" s="3" t="n"/>
      <c r="S9" s="3" t="n"/>
      <c r="T9" s="3" t="n"/>
      <c r="U9" s="3" t="n"/>
      <c r="V9" s="3" t="n"/>
      <c r="W9" s="3" t="n"/>
      <c r="X9" s="3" t="n"/>
      <c r="Y9" s="3" t="n"/>
      <c r="Z9" s="3" t="n"/>
    </row>
    <row r="10">
      <c r="A10" s="32" t="inlineStr">
        <is>
          <t>Anthropic</t>
        </is>
      </c>
      <c r="B10" s="32" t="inlineStr">
        <is>
          <t>Claude Opus 4.7</t>
        </is>
      </c>
      <c r="C10" s="32" t="inlineStr">
        <is>
          <t>Frontier reasoning, complex escalation, deep analysis, advanced agents</t>
        </is>
      </c>
      <c r="D10" s="23" t="n">
        <v>5</v>
      </c>
      <c r="E10" s="23" t="n">
        <v>25</v>
      </c>
      <c r="F10" s="23" t="n">
        <v>0.5</v>
      </c>
      <c r="G10" s="32" t="inlineStr">
        <is>
          <t>https://platform.claude.com/docs/en/about-claude/pricing</t>
        </is>
      </c>
      <c r="H10" s="32" t="inlineStr">
        <is>
          <t>2026-05-17</t>
        </is>
      </c>
      <c r="I10" s="70" t="n"/>
      <c r="J10" s="3" t="n"/>
      <c r="K10" s="3" t="n"/>
      <c r="L10" s="3" t="n"/>
      <c r="M10" s="3" t="n"/>
      <c r="N10" s="3" t="n"/>
      <c r="O10" s="3" t="n"/>
      <c r="P10" s="3" t="n"/>
      <c r="Q10" s="3" t="n"/>
      <c r="R10" s="3" t="n"/>
      <c r="S10" s="3" t="n"/>
      <c r="T10" s="3" t="n"/>
      <c r="U10" s="3" t="n"/>
      <c r="V10" s="3" t="n"/>
      <c r="W10" s="3" t="n"/>
      <c r="X10" s="3" t="n"/>
      <c r="Y10" s="3" t="n"/>
      <c r="Z10" s="3" t="n"/>
    </row>
    <row r="11">
      <c r="A11" s="50" t="inlineStr">
        <is>
          <t>Anthropic</t>
        </is>
      </c>
      <c r="B11" s="50" t="inlineStr">
        <is>
          <t>Claude Sonnet 4.6</t>
        </is>
      </c>
      <c r="C11" s="50" t="inlineStr">
        <is>
          <t>High-quality general reasoning/drafting, complex customer workflows, evaluation</t>
        </is>
      </c>
      <c r="D11" s="54" t="n">
        <v>3</v>
      </c>
      <c r="E11" s="54" t="n">
        <v>15</v>
      </c>
      <c r="F11" s="54" t="n">
        <v>0.3</v>
      </c>
      <c r="G11" s="50" t="inlineStr">
        <is>
          <t>https://platform.claude.com/docs/en/about-claude/pricing</t>
        </is>
      </c>
      <c r="H11" s="50" t="inlineStr">
        <is>
          <t>2026-05-17</t>
        </is>
      </c>
      <c r="I11" s="77" t="n"/>
      <c r="J11" s="3" t="n"/>
      <c r="K11" s="3" t="n"/>
      <c r="L11" s="3" t="n"/>
      <c r="M11" s="3" t="n"/>
      <c r="N11" s="3" t="n"/>
      <c r="O11" s="3" t="n"/>
      <c r="P11" s="3" t="n"/>
      <c r="Q11" s="3" t="n"/>
      <c r="R11" s="3" t="n"/>
      <c r="S11" s="3" t="n"/>
      <c r="T11" s="3" t="n"/>
      <c r="U11" s="3" t="n"/>
      <c r="V11" s="3" t="n"/>
      <c r="W11" s="3" t="n"/>
      <c r="X11" s="3" t="n"/>
      <c r="Y11" s="3" t="n"/>
      <c r="Z11" s="3" t="n"/>
    </row>
    <row r="12">
      <c r="A12" s="32" t="inlineStr">
        <is>
          <t>Anthropic</t>
        </is>
      </c>
      <c r="B12" s="32" t="inlineStr">
        <is>
          <t>Claude Haiku 4.5</t>
        </is>
      </c>
      <c r="C12" s="32" t="inlineStr">
        <is>
          <t>Fast/high-volume triage, classification, extraction, lightweight routing</t>
        </is>
      </c>
      <c r="D12" s="23" t="n">
        <v>1</v>
      </c>
      <c r="E12" s="23" t="n">
        <v>5</v>
      </c>
      <c r="F12" s="23" t="n">
        <v>0.1</v>
      </c>
      <c r="G12" s="32" t="inlineStr">
        <is>
          <t>https://platform.claude.com/docs/en/about-claude/pricing</t>
        </is>
      </c>
      <c r="H12" s="32" t="inlineStr">
        <is>
          <t>2026-05-17</t>
        </is>
      </c>
      <c r="I12" s="70"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7" t="inlineStr">
        <is>
          <t>Notes for candidates</t>
        </is>
      </c>
      <c r="J14" s="3" t="n"/>
      <c r="K14" s="3" t="n"/>
      <c r="L14" s="3" t="n"/>
      <c r="M14" s="3" t="n"/>
      <c r="N14" s="3" t="n"/>
      <c r="O14" s="3" t="n"/>
      <c r="P14" s="3" t="n"/>
      <c r="Q14" s="3" t="n"/>
      <c r="R14" s="3" t="n"/>
      <c r="S14" s="3" t="n"/>
      <c r="T14" s="3" t="n"/>
      <c r="U14" s="3" t="n"/>
      <c r="V14" s="3" t="n"/>
      <c r="W14" s="3" t="n"/>
      <c r="X14" s="3" t="n"/>
      <c r="Y14" s="3" t="n"/>
      <c r="Z14" s="3" t="n"/>
    </row>
    <row r="15">
      <c r="A15" s="10" t="inlineStr">
        <is>
          <t>Batch/caching</t>
        </is>
      </c>
      <c r="B15" s="8" t="inlineStr">
        <is>
          <t>Batch processing and prompt caching can materially reduce costs. If you assume either, document it in Candidate Assumptions and adjust prices or multipliers transparently.</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0" t="inlineStr">
        <is>
          <t>Anthropic cache</t>
        </is>
      </c>
      <c r="B16" s="8" t="inlineStr">
        <is>
          <t>Claude cache reads are listed at 10% of base input pricing on the official pricing page. Cached input column here reflects that read-rate shorthand, not cache-write pricing.</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0" t="inlineStr">
        <is>
          <t>OpenAI cache</t>
        </is>
      </c>
      <c r="B17" s="8" t="inlineStr">
        <is>
          <t>OpenAI cached input pricing varies by model and is listed separately from base input/output pricing on the official pricing page.</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0" t="inlineStr">
        <is>
          <t>Embeddings</t>
        </is>
      </c>
      <c r="B18" s="8" t="inlineStr">
        <is>
          <t>Embedding models have input-token costs only; output cost is entered as $0 so formulas remain valid.</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88">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88">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88">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88">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88">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88">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88">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88">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88">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88">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88">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88">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88">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88">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88">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88">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88">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8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88">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88">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88">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88">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88">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88">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88">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88">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88">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8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88">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88">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88">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88">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88">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88">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88">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88">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88">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8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88">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88">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88">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88">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88">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88">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88">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88">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88">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8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88">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88">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88">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88">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88">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88">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88">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88">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88">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8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88">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88">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88">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88">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88">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88">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88">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88">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88">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88">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88">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88">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88">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88">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88">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88">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88">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88">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8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88">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88">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88">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88">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88">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88">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88">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88">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88">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8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88">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88">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88">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88">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88">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88">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88">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88">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88">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8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88">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88">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88">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88">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88">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88">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88">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88">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88">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8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88">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88">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88">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88">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88">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88">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88">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88">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88">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8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88">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88">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88">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88">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88">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88">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88">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88">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88">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8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88">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88">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88">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88">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88">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88">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88">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88">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88">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8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88">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88">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88">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88">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88">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88">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88">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88">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88">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8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88">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88">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88">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88">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88">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88">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88">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88">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88">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8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88">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88">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88">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88">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88">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88">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88">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88">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88">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88">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88">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88">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88">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88">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88">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88">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88">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88">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8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88">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88">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88">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88">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88">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88">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88">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88">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88">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8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88">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88">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88">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88">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88">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88">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88">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88">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88">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8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88">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88">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88">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88">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88">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88">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88">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88">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88">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8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88">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88">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88">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88">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88">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88">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88">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88">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88">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8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88">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88">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88">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88">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88">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88">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88">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88">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88">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8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88">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88">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88">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88">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88">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88">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88">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88">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88">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8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88">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88">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88">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88">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88">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88">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88">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88">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88">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8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88">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88">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88">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88">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88">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88">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88">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88">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88">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8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88">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88">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88">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88">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88">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88">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88">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88">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88">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88">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88">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88">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88">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88">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88">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88">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88">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88">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8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88">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88">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88">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88">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88">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88">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88">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88">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88">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8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88">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88">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88">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88">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88">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88">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88">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88">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88">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8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88">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88">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88">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88">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88">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88">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88">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88">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88">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8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88">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88">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88">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88">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88">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88">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88">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88">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88">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8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88">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88">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88">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88">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88">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88">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88">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88">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88">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8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88">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88">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88">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88">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88">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88">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88">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88">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88">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8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88">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88">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88">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88">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88">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88">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88">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88">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88">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8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88">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88">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88">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88">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88">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88">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88">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88">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88">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8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88">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88">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88">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88">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88">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88">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88">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88">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88">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88">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88">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88">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88">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88">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88">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88">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88">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88">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8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88">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88">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88">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88">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88">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88">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88">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88">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88">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8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88">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88">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88">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88">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88">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88">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88">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88">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88">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8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88">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88">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88">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88">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88">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88">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88">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88">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88">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8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88">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88">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88">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88">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88">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88">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88">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88">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88">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8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88">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88">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88">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88">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88">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88">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88">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88">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88">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8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88">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88">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88">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88">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88">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88">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88">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88">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88">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8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88">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88">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88">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88">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88">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88">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88">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88">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88">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8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88">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88">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88">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88">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88">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88">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88">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88">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88">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8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88">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88">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88">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88">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88">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88">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88">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88">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88">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88">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88">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88">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88">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88">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88">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88">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88">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88">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8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88">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88">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88">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88">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88">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88">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88">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88">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88">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8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88">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88">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88">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88">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88">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88">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88">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88">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88">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8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88">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88">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88">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88">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88">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88">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88">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88">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88">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8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88">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88">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88">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88">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88">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88">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88">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88">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88">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8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88">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88">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88">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88">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88">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88">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88">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88">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88">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8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88">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88">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88">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88">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88">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88">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88">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88">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88">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8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88">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88">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88">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88">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88">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88">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88">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88">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88">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8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88">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88">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88">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88">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88">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88">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88">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88">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88">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8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88">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88">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88">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88">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88">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88">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88">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88">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88">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88">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88">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88">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88">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88">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88">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88">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88">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88">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8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88">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88">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88">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88">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88">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88">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88">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88">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88">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8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88">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88">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88">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88">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88">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88">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88">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88">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88">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8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88">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88">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88">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88">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88">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88">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88">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88">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88">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8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88">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88">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88">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88">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88">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88">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88">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88">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88">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8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88">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88">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88">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88">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88">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88">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88">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88">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88">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8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88">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88">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88">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88">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88">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88">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88">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88">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88">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8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88">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88">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88">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88">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88">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88">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88">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88">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88">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8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88">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88">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88">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88">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88">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88">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88">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88">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88">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8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88">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88">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88">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88">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88">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88">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88">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88">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88">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88">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88">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88">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88">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88">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88">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88">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88">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88">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8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88">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88">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88">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88">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88">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88">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88">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88">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88">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8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88">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88">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88">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88">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88">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88">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88">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88">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88">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8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88">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88">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88">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88">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88">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88">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88">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88">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88">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8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88">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88">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88">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88">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88">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88">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88">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88">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88">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8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88">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88">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88">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88">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88">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88">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88">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88">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88">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8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88">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88">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88">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88">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88">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88">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88">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88">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88">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8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88">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88">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88">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88">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88">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88">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88">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88">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88">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8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88">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88">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88">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88">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88">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88">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88">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88">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88">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8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88">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88">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88">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88">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88">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88">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88">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88">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88">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88">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88">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88">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88">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88">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88">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88">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88">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88">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8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88">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88">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88">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88">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88">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88">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88">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88">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88">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8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88">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88">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88">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88">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88">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88">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88">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88">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88">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8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88">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88">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88">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88">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88">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88">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88">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88">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88">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8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88">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88">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88">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88">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88">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88">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88">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88">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88">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8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88">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88">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88">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88">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88">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88">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88">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88">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88">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8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88">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88">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88">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88">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88">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88">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88">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88">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88">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8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88">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88">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88">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88">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88">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88">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88">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88">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88">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8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88">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88">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88">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88">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88">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88">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88">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88">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88">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8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88">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88">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88">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88">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88">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88">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88">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88">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88">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88">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88">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88">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88">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88">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88">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88">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88">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88">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8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88">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88">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88">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88">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88">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88">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88">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88">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88">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8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88">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88">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88">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88">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88">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88">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88">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88">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88">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8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88">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88">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88">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88">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88">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88">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88">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88">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88">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8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88">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88">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88">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88">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88">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88">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88">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88">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88">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8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88">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88">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88">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88">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88">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88">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88">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88">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88">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8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88">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88">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88">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88">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88">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88">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88">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88">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88">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8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88">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88">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88">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88">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88">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88">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88">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88">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88">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8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88">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88">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88">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88">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88">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88">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88">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88">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88">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8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88">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88">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88">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88">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88">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88">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88">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88">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88">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88">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88">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88">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88">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88">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88">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88">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88">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88">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8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88">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88">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3">
    <mergeCell ref="A1:I1"/>
    <mergeCell ref="A2:I2"/>
    <mergeCell ref="A14:I14"/>
  </mergeCells>
  <pageMargins left="0.75" right="0.75" top="1" bottom="1"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sheetData>
    <row r="1">
      <c r="A1" s="27" t="inlineStr">
        <is>
          <t>Cadence Reference</t>
        </is>
      </c>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8" t="inlineStr">
        <is>
          <t>Use the cadence factor to annualize work correctly.</t>
        </is>
      </c>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45" t="inlineStr">
        <is>
          <t>Cadence</t>
        </is>
      </c>
      <c r="B4" s="45" t="inlineStr">
        <is>
          <t>Annualization factor</t>
        </is>
      </c>
      <c r="C4" s="45" t="inlineStr">
        <is>
          <t>Use when</t>
        </is>
      </c>
      <c r="D4" s="45" t="inlineStr">
        <is>
          <t>Candidate notes</t>
        </is>
      </c>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50" t="inlineStr">
        <is>
          <t>Business day</t>
        </is>
      </c>
      <c r="B5" s="30" t="n">
        <v>260</v>
      </c>
      <c r="C5" s="50" t="inlineStr">
        <is>
          <t>Runs only on business days</t>
        </is>
      </c>
      <c r="D5" s="77"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32" t="inlineStr">
        <is>
          <t>Calendar day</t>
        </is>
      </c>
      <c r="B6" s="33" t="n">
        <v>365</v>
      </c>
      <c r="C6" s="32" t="inlineStr">
        <is>
          <t>Runs every day including weekends/holidays</t>
        </is>
      </c>
      <c r="D6" s="70"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50" t="inlineStr">
        <is>
          <t>Weekly</t>
        </is>
      </c>
      <c r="B7" s="30" t="n">
        <v>52</v>
      </c>
      <c r="C7" s="50" t="inlineStr">
        <is>
          <t>Runs once per week</t>
        </is>
      </c>
      <c r="D7" s="77"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32" t="inlineStr">
        <is>
          <t>Biweekly</t>
        </is>
      </c>
      <c r="B8" s="33" t="n">
        <v>26</v>
      </c>
      <c r="C8" s="32" t="inlineStr">
        <is>
          <t>Runs once every two weeks</t>
        </is>
      </c>
      <c r="D8" s="70"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50" t="inlineStr">
        <is>
          <t>Monthly</t>
        </is>
      </c>
      <c r="B9" s="30" t="n">
        <v>12</v>
      </c>
      <c r="C9" s="50" t="inlineStr">
        <is>
          <t>Runs once per month</t>
        </is>
      </c>
      <c r="D9" s="77"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2" t="inlineStr">
        <is>
          <t>Quarterly</t>
        </is>
      </c>
      <c r="B10" s="33" t="n">
        <v>4</v>
      </c>
      <c r="C10" s="32" t="inlineStr">
        <is>
          <t>Runs once per quarter</t>
        </is>
      </c>
      <c r="D10" s="70"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50" t="inlineStr">
        <is>
          <t>Annual</t>
        </is>
      </c>
      <c r="B11" s="30" t="n">
        <v>1</v>
      </c>
      <c r="C11" s="50" t="inlineStr">
        <is>
          <t>Runs once per year</t>
        </is>
      </c>
      <c r="D11" s="77"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2" t="inlineStr">
        <is>
          <t>Manual</t>
        </is>
      </c>
      <c r="B12" s="35" t="n"/>
      <c r="C12" s="32" t="inlineStr">
        <is>
          <t>Use only if annualization is documented manually</t>
        </is>
      </c>
      <c r="D12" s="70"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2">
    <mergeCell ref="A1:D1"/>
    <mergeCell ref="A2:D2"/>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ySplit="11" topLeftCell="A12" activePane="bottomLeft" state="frozen"/>
      <selection pane="bottomLeft" activeCell="B13" sqref="B13"/>
    </sheetView>
  </sheetViews>
  <sheetFormatPr baseColWidth="8" defaultColWidth="14.43" defaultRowHeight="15" customHeight="1"/>
  <cols>
    <col width="28" customWidth="1" style="88" min="1" max="3"/>
    <col width="14" customWidth="1" style="88" min="4" max="4"/>
    <col width="18" customWidth="1" style="88" min="5" max="6"/>
    <col width="20" customWidth="1" style="88" min="7" max="7"/>
    <col width="16" customWidth="1" style="88" min="8" max="8"/>
    <col width="17" customWidth="1" style="88" min="9" max="9"/>
    <col width="15" customWidth="1" style="88" min="10" max="11"/>
    <col width="16" customWidth="1" style="88" min="12" max="13"/>
    <col width="22" customWidth="1" style="88" min="14" max="14"/>
    <col width="45" customWidth="1" style="88" min="15" max="15"/>
    <col width="8.710000000000001" customWidth="1" style="88" min="16" max="26"/>
  </cols>
  <sheetData>
    <row r="1" ht="24" customHeight="1" s="88">
      <c r="A1" s="27" t="inlineStr">
        <is>
          <t>Token Math Template - Candidate Work Area</t>
        </is>
      </c>
      <c r="I1" s="3" t="n"/>
      <c r="J1" s="3" t="n"/>
      <c r="K1" s="3" t="n"/>
      <c r="L1" s="3" t="n"/>
      <c r="M1" s="3" t="n"/>
      <c r="N1" s="3" t="n"/>
      <c r="O1" s="3" t="n"/>
      <c r="P1" s="3" t="n"/>
      <c r="Q1" s="3" t="n"/>
      <c r="R1" s="3" t="n"/>
      <c r="S1" s="3" t="n"/>
      <c r="T1" s="3" t="n"/>
      <c r="U1" s="3" t="n"/>
      <c r="V1" s="3" t="n"/>
      <c r="W1" s="3" t="n"/>
      <c r="X1" s="3" t="n"/>
      <c r="Y1" s="3" t="n"/>
      <c r="Z1" s="3" t="n"/>
    </row>
    <row r="2" ht="36" customHeight="1" s="88">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0" t="inlineStr">
        <is>
          <t>Annual token budget</t>
        </is>
      </c>
      <c r="B3" s="36" t="n">
        <v>50000</v>
      </c>
      <c r="C3" s="3" t="n"/>
      <c r="D3" s="37" t="inlineStr">
        <is>
          <t>Required coverage check</t>
        </is>
      </c>
      <c r="G3" s="3" t="n"/>
      <c r="H3" s="3" t="n"/>
      <c r="I3" s="3" t="n"/>
      <c r="J3" s="3" t="n"/>
      <c r="K3" s="3" t="n"/>
      <c r="L3" s="3" t="n"/>
      <c r="M3" s="3" t="n"/>
      <c r="N3" s="3" t="n"/>
      <c r="O3" s="3" t="n"/>
      <c r="P3" s="3" t="n"/>
      <c r="Q3" s="3" t="n"/>
      <c r="R3" s="3" t="n"/>
      <c r="S3" s="3" t="n"/>
      <c r="T3" s="3" t="n"/>
      <c r="U3" s="3" t="n"/>
      <c r="V3" s="3" t="n"/>
      <c r="W3" s="3" t="n"/>
      <c r="X3" s="3" t="n"/>
      <c r="Y3" s="3" t="n"/>
      <c r="Z3" s="3" t="n"/>
    </row>
    <row r="4">
      <c r="A4" s="10" t="inlineStr">
        <is>
          <t>Estimated annual token cost</t>
        </is>
      </c>
      <c r="B4" s="38">
        <f>SUM(Q13:Q62)</f>
        <v/>
      </c>
      <c r="C4" s="3" t="n"/>
      <c r="D4" s="7" t="inlineStr">
        <is>
          <t>Required operating area</t>
        </is>
      </c>
      <c r="E4" s="7" t="inlineStr">
        <is>
          <t>Status</t>
        </is>
      </c>
      <c r="F4" s="7" t="inlineStr">
        <is>
          <t>Candidate comment</t>
        </is>
      </c>
      <c r="G4" s="3" t="n"/>
      <c r="H4" s="3" t="n"/>
      <c r="I4" s="3" t="n"/>
      <c r="J4" s="3" t="n"/>
      <c r="K4" s="3" t="n"/>
      <c r="L4" s="3" t="n"/>
      <c r="M4" s="3" t="n"/>
      <c r="N4" s="3" t="n"/>
      <c r="O4" s="3" t="n"/>
      <c r="P4" s="3" t="n"/>
      <c r="Q4" s="3" t="n"/>
      <c r="R4" s="3" t="n"/>
      <c r="S4" s="3" t="n"/>
      <c r="T4" s="3" t="n"/>
      <c r="U4" s="3" t="n"/>
      <c r="V4" s="3" t="n"/>
      <c r="W4" s="3" t="n"/>
      <c r="X4" s="3" t="n"/>
      <c r="Y4" s="3" t="n"/>
      <c r="Z4" s="3" t="n"/>
    </row>
    <row r="5">
      <c r="A5" s="10" t="inlineStr">
        <is>
          <t>Budget utilization</t>
        </is>
      </c>
      <c r="B5" s="39">
        <f>IFERROR(B4/B3,0)</f>
        <v/>
      </c>
      <c r="C5" s="3" t="n"/>
      <c r="D5" s="8" t="inlineStr">
        <is>
          <t>Account monitoring</t>
        </is>
      </c>
      <c r="E5" s="8">
        <f>IF(COUNTIF($B$13:$B$62,D5)&gt;0,"Covered","Missing")</f>
        <v/>
      </c>
      <c r="F5" s="3" t="n"/>
      <c r="G5" s="3" t="n"/>
      <c r="H5" s="3" t="n"/>
      <c r="I5" s="3" t="n"/>
      <c r="J5" s="3" t="n"/>
      <c r="K5" s="3" t="n"/>
      <c r="L5" s="3" t="n"/>
      <c r="M5" s="3" t="n"/>
      <c r="N5" s="3" t="n"/>
      <c r="O5" s="3" t="n"/>
      <c r="P5" s="3" t="n"/>
      <c r="Q5" s="3" t="n"/>
      <c r="R5" s="3" t="n"/>
      <c r="S5" s="3" t="n"/>
      <c r="T5" s="3" t="n"/>
      <c r="U5" s="3" t="n"/>
      <c r="V5" s="3" t="n"/>
      <c r="W5" s="3" t="n"/>
      <c r="X5" s="3" t="n"/>
      <c r="Y5" s="3" t="n"/>
      <c r="Z5" s="3" t="n"/>
    </row>
    <row r="6">
      <c r="A6" s="10" t="inlineStr">
        <is>
          <t>Remaining budget</t>
        </is>
      </c>
      <c r="B6" s="38">
        <f>B3-B4</f>
        <v/>
      </c>
      <c r="C6" s="3" t="n"/>
      <c r="D6" s="8" t="inlineStr">
        <is>
          <t>Prioritization</t>
        </is>
      </c>
      <c r="E6" s="8">
        <f>IF(COUNTIF($B$13:$B$62,D6)&gt;0,"Covered","Missing")</f>
        <v/>
      </c>
      <c r="F6" s="3" t="n"/>
      <c r="G6" s="3" t="n"/>
      <c r="H6" s="3" t="n"/>
      <c r="I6" s="3" t="n"/>
      <c r="J6" s="3" t="n"/>
      <c r="K6" s="3" t="n"/>
      <c r="L6" s="3" t="n"/>
      <c r="M6" s="3" t="n"/>
      <c r="N6" s="3" t="n"/>
      <c r="O6" s="3" t="n"/>
      <c r="P6" s="3" t="n"/>
      <c r="Q6" s="3" t="n"/>
      <c r="R6" s="3" t="n"/>
      <c r="S6" s="3" t="n"/>
      <c r="T6" s="3" t="n"/>
      <c r="U6" s="3" t="n"/>
      <c r="V6" s="3" t="n"/>
      <c r="W6" s="3" t="n"/>
      <c r="X6" s="3" t="n"/>
      <c r="Y6" s="3" t="n"/>
      <c r="Z6" s="3" t="n"/>
    </row>
    <row r="7">
      <c r="A7" s="10" t="inlineStr">
        <is>
          <t>Budget interpretation</t>
        </is>
      </c>
      <c r="B7" s="40">
        <f>IF(B5&lt;0.25,"Low utilization: explain why efficient or under-scoped",IF(B5&lt;0.6,"Conservative: explain tradeoffs",IF(B5&lt;0.9,"Substantial production usage: justify assumptions",IF(B5&lt;1.1,"Near budget: explain risk controls","Over budget: optimize or justify"))))</f>
        <v/>
      </c>
      <c r="C7" s="3" t="n"/>
      <c r="D7" s="8" t="inlineStr">
        <is>
          <t>Inbound issue handling</t>
        </is>
      </c>
      <c r="E7" s="8">
        <f>IF(COUNTIF($B$13:$B$62,D7)&gt;0,"Covered","Missing")</f>
        <v/>
      </c>
      <c r="F7" s="3" t="n"/>
      <c r="G7" s="3" t="n"/>
      <c r="H7" s="3" t="n"/>
      <c r="I7" s="3" t="n"/>
      <c r="J7" s="3" t="n"/>
      <c r="K7" s="3" t="n"/>
      <c r="L7" s="3" t="n"/>
      <c r="M7" s="3" t="n"/>
      <c r="N7" s="3" t="n"/>
      <c r="O7" s="3" t="n"/>
      <c r="P7" s="3" t="n"/>
      <c r="Q7" s="3" t="n"/>
      <c r="R7" s="3" t="n"/>
      <c r="S7" s="3" t="n"/>
      <c r="T7" s="3" t="n"/>
      <c r="U7" s="3" t="n"/>
      <c r="V7" s="3" t="n"/>
      <c r="W7" s="3" t="n"/>
      <c r="X7" s="3" t="n"/>
      <c r="Y7" s="3" t="n"/>
      <c r="Z7" s="3" t="n"/>
    </row>
    <row r="8">
      <c r="A8" s="10" t="inlineStr">
        <is>
          <t>Components entered</t>
        </is>
      </c>
      <c r="B8" s="41">
        <f>COUNTA(A13:A62)</f>
        <v/>
      </c>
      <c r="C8" s="3" t="n"/>
      <c r="D8" s="8" t="inlineStr">
        <is>
          <t>Customer check-in support</t>
        </is>
      </c>
      <c r="E8" s="8">
        <f>IF(COUNTIF($B$13:$B$62,D8)&gt;0,"Covered","Missing")</f>
        <v/>
      </c>
      <c r="F8" s="3" t="n"/>
      <c r="G8" s="3" t="n"/>
      <c r="H8" s="3" t="n"/>
      <c r="I8" s="3" t="n"/>
      <c r="J8" s="3" t="n"/>
      <c r="K8" s="3" t="n"/>
      <c r="L8" s="3" t="n"/>
      <c r="M8" s="3" t="n"/>
      <c r="N8" s="3" t="n"/>
      <c r="O8" s="3" t="n"/>
      <c r="P8" s="3" t="n"/>
      <c r="Q8" s="3" t="n"/>
      <c r="R8" s="3" t="n"/>
      <c r="S8" s="3" t="n"/>
      <c r="T8" s="3" t="n"/>
      <c r="U8" s="3" t="n"/>
      <c r="V8" s="3" t="n"/>
      <c r="W8" s="3" t="n"/>
      <c r="X8" s="3" t="n"/>
      <c r="Y8" s="3" t="n"/>
      <c r="Z8" s="3" t="n"/>
    </row>
    <row r="9">
      <c r="A9" s="10" t="inlineStr">
        <is>
          <t>Rows with missing required info</t>
        </is>
      </c>
      <c r="B9" s="41">
        <f>COUNTIF(V13:V62,"*Missing*")</f>
        <v/>
      </c>
      <c r="C9" s="3" t="n"/>
      <c r="D9" s="8" t="inlineStr">
        <is>
          <t>Output quality review</t>
        </is>
      </c>
      <c r="E9" s="8">
        <f>IF(COUNTIF($B$13:$B$62,D9)&gt;0,"Covered","Missing")</f>
        <v/>
      </c>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8" t="inlineStr">
        <is>
          <t>Targeted intervention planning</t>
        </is>
      </c>
      <c r="E10" s="8">
        <f>IF(COUNTIF($B$13:$B$62,D10)&gt;0,"Covered","Missing")</f>
        <v/>
      </c>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43.5" customHeight="1" s="88">
      <c r="A11" s="44" t="n"/>
      <c r="B11" s="44" t="n"/>
      <c r="C11" s="44" t="n"/>
      <c r="D11" s="43" t="inlineStr">
        <is>
          <t>24/7 responsiveness / escalation</t>
        </is>
      </c>
      <c r="E11" s="43">
        <f>IF(COUNTIF($B$13:$B$62,D11)&gt;0,"Covered","Missing")</f>
        <v/>
      </c>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5" t="inlineStr">
        <is>
          <t>Workflow component</t>
        </is>
      </c>
      <c r="B12" s="45" t="inlineStr">
        <is>
          <t>Operating area</t>
        </is>
      </c>
      <c r="C12" s="45" t="inlineStr">
        <is>
          <t>Trigger / schedule</t>
        </is>
      </c>
      <c r="D12" s="46" t="inlineStr">
        <is>
          <t>Runs per cadence</t>
        </is>
      </c>
      <c r="E12" s="46" t="inlineStr">
        <is>
          <t>Cadence</t>
        </is>
      </c>
      <c r="F12" s="46" t="inlineStr">
        <is>
          <t>Annualization factor</t>
        </is>
      </c>
      <c r="G12" s="45" t="inlineStr">
        <is>
          <t>Avg input tokens/run</t>
        </is>
      </c>
      <c r="H12" s="47" t="inlineStr">
        <is>
          <t>Avg output tokens/run</t>
        </is>
      </c>
      <c r="I12" s="47" t="inlineStr">
        <is>
          <t>Model</t>
        </is>
      </c>
      <c r="J12" s="48" t="inlineStr">
        <is>
          <t>Input $/1M</t>
        </is>
      </c>
      <c r="K12" s="49" t="inlineStr">
        <is>
          <t>Output $/1M</t>
        </is>
      </c>
      <c r="L12" s="47" t="inlineStr">
        <is>
          <t>Retry / recheck rate</t>
        </is>
      </c>
      <c r="M12" s="47" t="inlineStr">
        <is>
          <t>QA / eval multiplier</t>
        </is>
      </c>
      <c r="N12" s="47" t="inlineStr">
        <is>
          <t>Base cost/run</t>
        </is>
      </c>
      <c r="O12" s="45" t="inlineStr">
        <is>
          <t>Adjusted cost/run</t>
        </is>
      </c>
      <c r="P12" s="45" t="inlineStr">
        <is>
          <t>Cost per cadence</t>
        </is>
      </c>
      <c r="Q12" s="45" t="inlineStr">
        <is>
          <t>Estimated annual cost</t>
        </is>
      </c>
      <c r="R12" s="45" t="inlineStr">
        <is>
          <t>Notebook measured avg cost/run</t>
        </is>
      </c>
      <c r="S12" s="45" t="inlineStr">
        <is>
          <t>Estimate vs measured variance</t>
        </is>
      </c>
      <c r="T12" s="45" t="inlineStr">
        <is>
          <t>Candidate notes / assumptions</t>
        </is>
      </c>
      <c r="U12" s="45" t="inlineStr">
        <is>
          <t>Source / measurement link</t>
        </is>
      </c>
      <c r="V12" s="45" t="inlineStr">
        <is>
          <t>Review flag</t>
        </is>
      </c>
      <c r="W12" s="3" t="n"/>
      <c r="X12" s="3" t="n"/>
      <c r="Y12" s="3" t="n"/>
      <c r="Z12" s="3" t="n"/>
    </row>
    <row r="13">
      <c r="A13" s="50" t="inlineStr">
        <is>
          <t>Memory &amp; context retrieval</t>
        </is>
      </c>
      <c r="B13" s="50" t="inlineStr">
        <is>
          <t>Memory &amp; retrieval</t>
        </is>
      </c>
      <c r="C13" s="50" t="inlineStr">
        <is>
          <t>Business-day pre-fetch, 1 per active account</t>
        </is>
      </c>
      <c r="D13" s="51" t="n">
        <v>18</v>
      </c>
      <c r="E13" s="52" t="inlineStr">
        <is>
          <t>Business day</t>
        </is>
      </c>
      <c r="F13" s="51">
        <f t="array" ref="F13">IFERROR(XLOOKUP(E13,'Cadence Reference'!$A$5:$A$12,'Cadence Reference'!$B$5:$B$12),"")</f>
        <v/>
      </c>
      <c r="G13" s="51" t="n">
        <v>292.4</v>
      </c>
      <c r="H13" s="51" t="n">
        <v>77.09999999999999</v>
      </c>
      <c r="I13" s="53" t="inlineStr">
        <is>
          <t>text-embedding-3-small</t>
        </is>
      </c>
      <c r="J13" s="54">
        <f t="array" ref="J13">IFERROR(XLOOKUP(I13,'Pricing Reference'!$B$5:$B$12,'Pricing Reference'!$D$5:$D$12),"")</f>
        <v/>
      </c>
      <c r="K13" s="54">
        <f t="array" ref="K13">IFERROR(XLOOKUP(I13,'Pricing Reference'!$B$5:$B$12,'Pricing Reference'!$E$5:$E$12),"")</f>
        <v/>
      </c>
      <c r="L13" s="55" t="n">
        <v>0.02</v>
      </c>
      <c r="M13" s="56" t="n">
        <v>1</v>
      </c>
      <c r="N13" s="57">
        <f>IF(OR(G13="",I13=""),"",((G13*J13)+(H13*K13))/1000000)</f>
        <v/>
      </c>
      <c r="O13" s="57">
        <f>IF(N13="","",N13*(1+L13)*M13)</f>
        <v/>
      </c>
      <c r="P13" s="57">
        <f>IF(OR(D13="",O13=""),"",D13*O13)</f>
        <v/>
      </c>
      <c r="Q13" s="58">
        <f>IF(OR(P13="",F13=""),"",P13*F13)</f>
        <v/>
      </c>
      <c r="R13" s="59" t="n">
        <v>5.78e-06</v>
      </c>
      <c r="S13" s="60">
        <f>IF(R13="","",IF(O13=0,"",R13/O13-1))</f>
        <v/>
      </c>
      <c r="T13" s="50" t="inlineStr">
        <is>
          <t>MEASURED tokens/cost (token_cost_summary.csv). Builds per-account memory packet consumed by stage 4. Embedding-style retrieval, input-cost only. Retry 2% (occasional re-index), QA 1.0x (no human QA on retrieval itself).</t>
        </is>
      </c>
      <c r="U13" s="77" t="inlineStr">
        <is>
          <t>cs_workflow_simulation/outputs/token_cost_summary.csv</t>
        </is>
      </c>
      <c r="V13" s="77">
        <f>IF(A13="","",TEXTJOIN("; ",TRUE,IF(B13="","Missing operating area",""),IF(E13="","Missing cadence",""),IF(I13="","Missing model",""),IF(D13="","Missing volume",""),IF(G13="","Missing input tokens",""),IF(M13="","Missing QA multiplier",""),IF(T13="","Missing assumption notes","")))</f>
        <v/>
      </c>
      <c r="W13" s="3" t="n"/>
      <c r="X13" s="3" t="n"/>
      <c r="Y13" s="3" t="n"/>
      <c r="Z13" s="3" t="n"/>
    </row>
    <row r="14">
      <c r="A14" s="32" t="inlineStr">
        <is>
          <t>Daily account health review</t>
        </is>
      </c>
      <c r="B14" s="32" t="inlineStr">
        <is>
          <t>Account monitoring</t>
        </is>
      </c>
      <c r="C14" s="32" t="inlineStr">
        <is>
          <t>Business-day scan, 1 per active account</t>
        </is>
      </c>
      <c r="D14" s="61" t="n">
        <v>18</v>
      </c>
      <c r="E14" s="62" t="inlineStr">
        <is>
          <t>Business day</t>
        </is>
      </c>
      <c r="F14" s="61">
        <f t="array" ref="F14">IFERROR(XLOOKUP(E14,'Cadence Reference'!$A$5:$A$12,'Cadence Reference'!$B$5:$B$12),"")</f>
        <v/>
      </c>
      <c r="G14" s="61" t="n">
        <v>162.8</v>
      </c>
      <c r="H14" s="61" t="n">
        <v>74.3</v>
      </c>
      <c r="I14" s="63" t="inlineStr">
        <is>
          <t>Claude Haiku 4.5</t>
        </is>
      </c>
      <c r="J14" s="23">
        <f t="array" ref="J14">IFERROR(XLOOKUP(I14,'Pricing Reference'!$B$5:$B$12,'Pricing Reference'!$D$5:$D$12),"")</f>
        <v/>
      </c>
      <c r="K14" s="23">
        <f t="array" ref="K14">IFERROR(XLOOKUP(I14,'Pricing Reference'!$B$5:$B$12,'Pricing Reference'!$E$5:$E$12),"")</f>
        <v/>
      </c>
      <c r="L14" s="64" t="n">
        <v>0.05</v>
      </c>
      <c r="M14" s="65" t="n">
        <v>1.05</v>
      </c>
      <c r="N14" s="66">
        <f>IF(OR(G14="",I14=""),"",((G14*J14)+(H14*K14))/1000000)</f>
        <v/>
      </c>
      <c r="O14" s="66">
        <f>IF(N14="","",N14*(1+L14)*M14)</f>
        <v/>
      </c>
      <c r="P14" s="66">
        <f>IF(OR(D14="",O14=""),"",D14*O14)</f>
        <v/>
      </c>
      <c r="Q14" s="67">
        <f>IF(OR(P14="",F14=""),"",P14*F14)</f>
        <v/>
      </c>
      <c r="R14" s="68" t="n">
        <v>0.00053417</v>
      </c>
      <c r="S14" s="69">
        <f>IF(R14="","",IF(O14=0,"",R14/O14-1))</f>
        <v/>
      </c>
      <c r="T14" s="32" t="inlineStr">
        <is>
          <t>MEASURED. Pulls latest usage/health-delta/tickets/NPS per account. High-volume, low-judgment, runs daily across full book. Retry 5%, QA 1.05x (light spot-check).</t>
        </is>
      </c>
      <c r="U14" s="70" t="inlineStr">
        <is>
          <t>cs_workflow_simulation/outputs/token_cost_summary.csv</t>
        </is>
      </c>
      <c r="V14" s="70">
        <f>IF(A14="","",TEXTJOIN("; ",TRUE,IF(B14="","Missing operating area",""),IF(E14="","Missing cadence",""),IF(I14="","Missing model",""),IF(D14="","Missing volume",""),IF(G14="","Missing input tokens",""),IF(M14="","Missing QA multiplier",""),IF(T14="","Missing assumption notes","")))</f>
        <v/>
      </c>
      <c r="W14" s="3" t="n"/>
      <c r="X14" s="3" t="n"/>
      <c r="Y14" s="3" t="n"/>
      <c r="Z14" s="3" t="n"/>
    </row>
    <row r="15">
      <c r="A15" s="50" t="inlineStr">
        <is>
          <t>Account prioritization scoring</t>
        </is>
      </c>
      <c r="B15" s="50" t="inlineStr">
        <is>
          <t>Prioritization</t>
        </is>
      </c>
      <c r="C15" s="50" t="inlineStr">
        <is>
          <t>Business-day scan, 1 per active account</t>
        </is>
      </c>
      <c r="D15" s="51" t="n">
        <v>18</v>
      </c>
      <c r="E15" s="52" t="inlineStr">
        <is>
          <t>Business day</t>
        </is>
      </c>
      <c r="F15" s="51">
        <f t="array" ref="F15">IFERROR(XLOOKUP(E15,'Cadence Reference'!$A$5:$A$12,'Cadence Reference'!$B$5:$B$12),"")</f>
        <v/>
      </c>
      <c r="G15" s="51" t="n">
        <v>74.3</v>
      </c>
      <c r="H15" s="51" t="n">
        <v>11</v>
      </c>
      <c r="I15" s="53" t="inlineStr">
        <is>
          <t>Claude Haiku 4.5</t>
        </is>
      </c>
      <c r="J15" s="54">
        <f t="array" ref="J15">IFERROR(XLOOKUP(I15,'Pricing Reference'!$B$5:$B$12,'Pricing Reference'!$D$5:$D$12),"")</f>
        <v/>
      </c>
      <c r="K15" s="54">
        <f t="array" ref="K15">IFERROR(XLOOKUP(I15,'Pricing Reference'!$B$5:$B$12,'Pricing Reference'!$E$5:$E$12),"")</f>
        <v/>
      </c>
      <c r="L15" s="55" t="n">
        <v>0.05</v>
      </c>
      <c r="M15" s="56" t="n">
        <v>1</v>
      </c>
      <c r="N15" s="57">
        <f>IF(OR(G15="",I15=""),"",((G15*J15)+(H15*K15))/1000000)</f>
        <v/>
      </c>
      <c r="O15" s="57">
        <f>IF(N15="","",N15*(1+L15)*M15)</f>
        <v/>
      </c>
      <c r="P15" s="57">
        <f>IF(OR(D15="",O15=""),"",D15*O15)</f>
        <v/>
      </c>
      <c r="Q15" s="58">
        <f>IF(OR(P15="",F15=""),"",P15*F15)</f>
        <v/>
      </c>
      <c r="R15" s="59" t="n">
        <v>0.00012928</v>
      </c>
      <c r="S15" s="60">
        <f>IF(R15="","",IF(O15=0,"",R15/O15-1))</f>
        <v/>
      </c>
      <c r="T15" s="50" t="inlineStr">
        <is>
          <t>MEASURED. Deterministic risk/opportunity scoring and tiering, routed through a cheap model call for consistency with the monitoring stage it depends on. Retry 5%, QA 1.0x (formula is auditable in code, no extra QA layer).</t>
        </is>
      </c>
      <c r="U15" s="77" t="inlineStr">
        <is>
          <t>cs_workflow_simulation/outputs/token_cost_summary.csv</t>
        </is>
      </c>
      <c r="V15" s="77">
        <f>IF(A15="","",TEXTJOIN("; ",TRUE,IF(B15="","Missing operating area",""),IF(E15="","Missing cadence",""),IF(I15="","Missing model",""),IF(D15="","Missing volume",""),IF(G15="","Missing input tokens",""),IF(M15="","Missing QA multiplier",""),IF(T15="","Missing assumption notes","")))</f>
        <v/>
      </c>
      <c r="W15" s="3" t="n"/>
      <c r="X15" s="3" t="n"/>
      <c r="Y15" s="3" t="n"/>
      <c r="Z15" s="3" t="n"/>
    </row>
    <row r="16" ht="37.5" customHeight="1" s="88">
      <c r="A16" s="70" t="inlineStr">
        <is>
          <t>Inbound support ticket routing</t>
        </is>
      </c>
      <c r="B16" s="70" t="inlineStr">
        <is>
          <t>Inbound issue handling</t>
        </is>
      </c>
      <c r="C16" s="70" t="inlineStr">
        <is>
          <t>Event-driven; volume rate inferred from dataset</t>
        </is>
      </c>
      <c r="D16" s="71" t="n">
        <v>12</v>
      </c>
      <c r="E16" s="72" t="inlineStr">
        <is>
          <t>Weekly</t>
        </is>
      </c>
      <c r="F16" s="71">
        <f t="array" ref="F16">IFERROR(XLOOKUP(E16,'Cadence Reference'!$A$5:$A$12,'Cadence Reference'!$B$5:$B$12),"")</f>
        <v/>
      </c>
      <c r="G16" s="71" t="n">
        <v>72.8</v>
      </c>
      <c r="H16" s="71" t="n">
        <v>28.2</v>
      </c>
      <c r="I16" s="73" t="inlineStr">
        <is>
          <t>Claude Sonnet 4.6</t>
        </is>
      </c>
      <c r="J16" s="74">
        <f t="array" ref="J16">IFERROR(XLOOKUP(I16,'Pricing Reference'!$B$5:$B$12,'Pricing Reference'!$D$5:$D$12),"")</f>
        <v/>
      </c>
      <c r="K16" s="74">
        <f t="array" ref="K16">IFERROR(XLOOKUP(I16,'Pricing Reference'!$B$5:$B$12,'Pricing Reference'!$E$5:$E$12),"")</f>
        <v/>
      </c>
      <c r="L16" s="69" t="n">
        <v>0.1</v>
      </c>
      <c r="M16" s="75" t="n">
        <v>1.1</v>
      </c>
      <c r="N16" s="68">
        <f>IF(OR(G16="",I16=""),"",((G16*J16)+(H16*K16))/1000000)</f>
        <v/>
      </c>
      <c r="O16" s="68">
        <f>IF(N16="","",N16*(1+L16)*M16)</f>
        <v/>
      </c>
      <c r="P16" s="68">
        <f>IF(OR(D16="",O16=""),"",D16*O16)</f>
        <v/>
      </c>
      <c r="Q16" s="76">
        <f>IF(OR(P16="",F16=""),"",P16*F16)</f>
        <v/>
      </c>
      <c r="R16" s="68" t="n">
        <v>0.00064225</v>
      </c>
      <c r="S16" s="69">
        <f>IF(R16="","",IF(O16=0,"",R16/O16-1))</f>
        <v/>
      </c>
      <c r="T16" s="70" t="inlineStr">
        <is>
          <t>MEASURED tokens/cost. ESTIMATE on volume: 12 tickets observed across the ~6-business-day window in support_tickets.csv, treated as a weekly rate -- not an observed steady-state production cadence. Retry 10%, QA 1.1x (judgment call on severity vs. account tier).</t>
        </is>
      </c>
      <c r="U16" s="70" t="inlineStr">
        <is>
          <t>cs_workflow_simulation/outputs/token_cost_summary.csv</t>
        </is>
      </c>
      <c r="V16" s="70">
        <f>IF(A16="","",TEXTJOIN("; ",TRUE,IF(B16="","Missing operating area",""),IF(E16="","Missing cadence",""),IF(I16="","Missing model",""),IF(D16="","Missing volume",""),IF(G16="","Missing input tokens",""),IF(M16="","Missing QA multiplier",""),IF(T16="","Missing assumption notes","")))</f>
        <v/>
      </c>
      <c r="W16" s="3" t="n"/>
      <c r="X16" s="3" t="n"/>
      <c r="Y16" s="3" t="n"/>
      <c r="Z16" s="3" t="n"/>
    </row>
    <row r="17" ht="37.5" customHeight="1" s="88">
      <c r="A17" s="77" t="inlineStr">
        <is>
          <t>Customer check-in brief preparation</t>
        </is>
      </c>
      <c r="B17" s="77" t="inlineStr">
        <is>
          <t>Customer check-in support</t>
        </is>
      </c>
      <c r="C17" s="77" t="inlineStr">
        <is>
          <t>Weekly, tied to scheduled check-in calendar</t>
        </is>
      </c>
      <c r="D17" s="78" t="n">
        <v>12</v>
      </c>
      <c r="E17" s="79" t="inlineStr">
        <is>
          <t>Weekly</t>
        </is>
      </c>
      <c r="F17" s="78">
        <f t="array" ref="F17">IFERROR(XLOOKUP(E17,'Cadence Reference'!$A$5:$A$12,'Cadence Reference'!$B$5:$B$12),"")</f>
        <v/>
      </c>
      <c r="G17" s="78" t="n">
        <v>186.9</v>
      </c>
      <c r="H17" s="78" t="n">
        <v>131.8</v>
      </c>
      <c r="I17" s="80" t="inlineStr">
        <is>
          <t>Claude Sonnet 4.6</t>
        </is>
      </c>
      <c r="J17" s="81">
        <f t="array" ref="J17">IFERROR(XLOOKUP(I17,'Pricing Reference'!$B$5:$B$12,'Pricing Reference'!$D$5:$D$12),"")</f>
        <v/>
      </c>
      <c r="K17" s="81">
        <f t="array" ref="K17">IFERROR(XLOOKUP(I17,'Pricing Reference'!$B$5:$B$12,'Pricing Reference'!$E$5:$E$12),"")</f>
        <v/>
      </c>
      <c r="L17" s="60" t="n">
        <v>0.1</v>
      </c>
      <c r="M17" s="82" t="n">
        <v>1.15</v>
      </c>
      <c r="N17" s="59">
        <f>IF(OR(G17="",I17=""),"",((G17*J17)+(H17*K17))/1000000)</f>
        <v/>
      </c>
      <c r="O17" s="59">
        <f>IF(N17="","",N17*(1+L17)*M17)</f>
        <v/>
      </c>
      <c r="P17" s="59">
        <f>IF(OR(D17="",O17=""),"",D17*O17)</f>
        <v/>
      </c>
      <c r="Q17" s="83">
        <f>IF(OR(P17="",F17=""),"",P17*F17)</f>
        <v/>
      </c>
      <c r="R17" s="59" t="n">
        <v>0.00253825</v>
      </c>
      <c r="S17" s="60">
        <f>IF(R17="","",IF(O17=0,"",R17/O17-1))</f>
        <v/>
      </c>
      <c r="T17" s="77" t="inlineStr">
        <is>
          <t>MEASURED tokens/cost. ESTIMATE on volume: 12 check-ins observed in scheduled_checkins.csv (spans ~1.5 weeks), treated as a weekly rate. Retry 10%, QA 1.15x (CSM reviews brief before customer-facing use).</t>
        </is>
      </c>
      <c r="U17" s="77" t="inlineStr">
        <is>
          <t>cs_workflow_simulation/outputs/token_cost_summary.csv</t>
        </is>
      </c>
      <c r="V17" s="77">
        <f>IF(A17="","",TEXTJOIN("; ",TRUE,IF(B17="","Missing operating area",""),IF(E17="","Missing cadence",""),IF(I17="","Missing model",""),IF(D17="","Missing volume",""),IF(G17="","Missing input tokens",""),IF(M17="","Missing QA multiplier",""),IF(T17="","Missing assumption notes","")))</f>
        <v/>
      </c>
      <c r="W17" s="3" t="n"/>
      <c r="X17" s="3" t="n"/>
      <c r="Y17" s="3" t="n"/>
      <c r="Z17" s="3" t="n"/>
    </row>
    <row r="18" ht="37.5" customHeight="1" s="88">
      <c r="A18" s="70" t="inlineStr">
        <is>
          <t>Customer-facing output quality review</t>
        </is>
      </c>
      <c r="B18" s="70" t="inlineStr">
        <is>
          <t>Output quality review</t>
        </is>
      </c>
      <c r="C18" s="70" t="inlineStr">
        <is>
          <t>Weekly batch review of junior-drafted outputs</t>
        </is>
      </c>
      <c r="D18" s="71" t="n">
        <v>8</v>
      </c>
      <c r="E18" s="72" t="inlineStr">
        <is>
          <t>Weekly</t>
        </is>
      </c>
      <c r="F18" s="71">
        <f t="array" ref="F18">IFERROR(XLOOKUP(E18,'Cadence Reference'!$A$5:$A$12,'Cadence Reference'!$B$5:$B$12),"")</f>
        <v/>
      </c>
      <c r="G18" s="71" t="n">
        <v>354.6</v>
      </c>
      <c r="H18" s="71" t="n">
        <v>117.2</v>
      </c>
      <c r="I18" s="73" t="inlineStr">
        <is>
          <t>GPT-5.4 mini</t>
        </is>
      </c>
      <c r="J18" s="74">
        <f t="array" ref="J18">IFERROR(XLOOKUP(I18,'Pricing Reference'!$B$5:$B$12,'Pricing Reference'!$D$5:$D$12),"")</f>
        <v/>
      </c>
      <c r="K18" s="74">
        <f t="array" ref="K18">IFERROR(XLOOKUP(I18,'Pricing Reference'!$B$5:$B$12,'Pricing Reference'!$E$5:$E$12),"")</f>
        <v/>
      </c>
      <c r="L18" s="69" t="n">
        <v>0.05</v>
      </c>
      <c r="M18" s="75" t="n">
        <v>1</v>
      </c>
      <c r="N18" s="68">
        <f>IF(OR(G18="",I18=""),"",((G18*J18)+(H18*K18))/1000000)</f>
        <v/>
      </c>
      <c r="O18" s="68">
        <f>IF(N18="","",N18*(1+L18)*M18)</f>
        <v/>
      </c>
      <c r="P18" s="68">
        <f>IF(OR(D18="",O18=""),"",D18*O18)</f>
        <v/>
      </c>
      <c r="Q18" s="76">
        <f>IF(OR(P18="",F18=""),"",P18*F18)</f>
        <v/>
      </c>
      <c r="R18" s="68" t="n">
        <v>0.0007935</v>
      </c>
      <c r="S18" s="69">
        <f>IF(R18="","",IF(O18=0,"",R18/O18-1))</f>
        <v/>
      </c>
      <c r="T18" s="70" t="inlineStr">
        <is>
          <t>MEASURED tokens/cost. ESTIMATE on volume: 8 junior outputs observed in dataset, treated as a weekly rate. Retry 5%, QA 1.0x -- this stage IS the QA control, so no second QA multiplier is stacked on top.</t>
        </is>
      </c>
      <c r="U18" s="70" t="inlineStr">
        <is>
          <t>cs_workflow_simulation/outputs/token_cost_summary.csv</t>
        </is>
      </c>
      <c r="V18" s="70">
        <f>IF(A18="","",TEXTJOIN("; ",TRUE,IF(B18="","Missing operating area",""),IF(E18="","Missing cadence",""),IF(I18="","Missing model",""),IF(D18="","Missing volume",""),IF(G18="","Missing input tokens",""),IF(M18="","Missing QA multiplier",""),IF(T18="","Missing assumption notes","")))</f>
        <v/>
      </c>
      <c r="W18" s="3" t="n"/>
      <c r="X18" s="3" t="n"/>
      <c r="Y18" s="3" t="n"/>
      <c r="Z18" s="3" t="n"/>
    </row>
    <row r="19" ht="37.5" customHeight="1" s="88">
      <c r="A19" s="77" t="inlineStr">
        <is>
          <t>Targeted intervention planning</t>
        </is>
      </c>
      <c r="B19" s="77" t="inlineStr">
        <is>
          <t>Targeted intervention planning</t>
        </is>
      </c>
      <c r="C19" s="77" t="inlineStr">
        <is>
          <t>Weekly, all Urgent/Watch/Expansion accounts</t>
        </is>
      </c>
      <c r="D19" s="78" t="n">
        <v>15</v>
      </c>
      <c r="E19" s="79" t="inlineStr">
        <is>
          <t>Weekly</t>
        </is>
      </c>
      <c r="F19" s="78">
        <f t="array" ref="F19">IFERROR(XLOOKUP(E19,'Cadence Reference'!$A$5:$A$12,'Cadence Reference'!$B$5:$B$12),"")</f>
        <v/>
      </c>
      <c r="G19" s="78" t="n">
        <v>157.4</v>
      </c>
      <c r="H19" s="78" t="n">
        <v>111.7</v>
      </c>
      <c r="I19" s="80" t="inlineStr">
        <is>
          <t>Claude Sonnet 4.6</t>
        </is>
      </c>
      <c r="J19" s="81">
        <f t="array" ref="J19">IFERROR(XLOOKUP(I19,'Pricing Reference'!$B$5:$B$12,'Pricing Reference'!$D$5:$D$12),"")</f>
        <v/>
      </c>
      <c r="K19" s="81">
        <f t="array" ref="K19">IFERROR(XLOOKUP(I19,'Pricing Reference'!$B$5:$B$12,'Pricing Reference'!$E$5:$E$12),"")</f>
        <v/>
      </c>
      <c r="L19" s="60" t="n">
        <v>0.1</v>
      </c>
      <c r="M19" s="82" t="n">
        <v>1.2</v>
      </c>
      <c r="N19" s="59">
        <f>IF(OR(G19="",I19=""),"",((G19*J19)+(H19*K19))/1000000)</f>
        <v/>
      </c>
      <c r="O19" s="59">
        <f>IF(N19="","",N19*(1+L19)*M19)</f>
        <v/>
      </c>
      <c r="P19" s="59">
        <f>IF(OR(D19="",O19=""),"",D19*O19)</f>
        <v/>
      </c>
      <c r="Q19" s="83">
        <f>IF(OR(P19="",F19=""),"",P19*F19)</f>
        <v/>
      </c>
      <c r="R19" s="59" t="n">
        <v>0.0021482</v>
      </c>
      <c r="S19" s="60">
        <f>IF(R19="","",IF(O19=0,"",R19/O19-1))</f>
        <v/>
      </c>
      <c r="T19" s="77" t="inlineStr">
        <is>
          <t>MEASURED tokens/cost. ESTIMATE on volume: 15 of 18 accounts qualified as Urgent/Watch/Expansion in the current snapshot; assumed reviewed weekly, which is conservative -- tiers do not realistically flip weekly for every account. Retry 10%, QA 1.2x (human sign-off before action).</t>
        </is>
      </c>
      <c r="U19" s="77" t="inlineStr">
        <is>
          <t>cs_workflow_simulation/outputs/token_cost_summary.csv</t>
        </is>
      </c>
      <c r="V19" s="77">
        <f>IF(A19="","",TEXTJOIN("; ",TRUE,IF(B19="","Missing operating area",""),IF(E19="","Missing cadence",""),IF(I19="","Missing model",""),IF(D19="","Missing volume",""),IF(G19="","Missing input tokens",""),IF(M19="","Missing QA multiplier",""),IF(T19="","Missing assumption notes","")))</f>
        <v/>
      </c>
      <c r="W19" s="3" t="n"/>
      <c r="X19" s="3" t="n"/>
      <c r="Y19" s="3" t="n"/>
      <c r="Z19" s="3" t="n"/>
    </row>
    <row r="20" ht="37.5" customHeight="1" s="88">
      <c r="A20" s="70" t="inlineStr">
        <is>
          <t>Escalation / 24-7 responsiveness consolidation</t>
        </is>
      </c>
      <c r="B20" s="70" t="inlineStr">
        <is>
          <t>24/7 responsiveness / escalation</t>
        </is>
      </c>
      <c r="C20" s="70" t="inlineStr">
        <is>
          <t>Business-day consolidation of flagged items</t>
        </is>
      </c>
      <c r="D20" s="71" t="n">
        <v>4</v>
      </c>
      <c r="E20" s="72" t="inlineStr">
        <is>
          <t>Business day</t>
        </is>
      </c>
      <c r="F20" s="71">
        <f t="array" ref="F20">IFERROR(XLOOKUP(E20,'Cadence Reference'!$A$5:$A$12,'Cadence Reference'!$B$5:$B$12),"")</f>
        <v/>
      </c>
      <c r="G20" s="71" t="n">
        <v>42.7</v>
      </c>
      <c r="H20" s="71" t="n">
        <v>2.6</v>
      </c>
      <c r="I20" s="73" t="inlineStr">
        <is>
          <t>Claude Opus 4.7</t>
        </is>
      </c>
      <c r="J20" s="74">
        <f t="array" ref="J20">IFERROR(XLOOKUP(I20,'Pricing Reference'!$B$5:$B$12,'Pricing Reference'!$D$5:$D$12),"")</f>
        <v/>
      </c>
      <c r="K20" s="74">
        <f t="array" ref="K20">IFERROR(XLOOKUP(I20,'Pricing Reference'!$B$5:$B$12,'Pricing Reference'!$E$5:$E$12),"")</f>
        <v/>
      </c>
      <c r="L20" s="69" t="n">
        <v>0.15</v>
      </c>
      <c r="M20" s="75" t="n">
        <v>1.25</v>
      </c>
      <c r="N20" s="68">
        <f>IF(OR(G20="",I20=""),"",((G20*J20)+(H20*K20))/1000000)</f>
        <v/>
      </c>
      <c r="O20" s="68">
        <f>IF(N20="","",N20*(1+L20)*M20)</f>
        <v/>
      </c>
      <c r="P20" s="68">
        <f>IF(OR(D20="",O20=""),"",D20*O20)</f>
        <v/>
      </c>
      <c r="Q20" s="76">
        <f>IF(OR(P20="",F20=""),"",P20*F20)</f>
        <v/>
      </c>
      <c r="R20" s="68" t="n">
        <v>0.0002785</v>
      </c>
      <c r="S20" s="69">
        <f>IF(R20="","",IF(O20=0,"",R20/O20-1))</f>
        <v/>
      </c>
      <c r="T20" s="70" t="inlineStr">
        <is>
          <t>MEASURED tokens/cost. ESTIMATE on volume: 20 items observed across ~6 business days in dataset, approximated as 4/business day -- a derived rate, not an observed steady daily count. Retry 15%, QA 1.25x (highest-stakes stage, lowest volume).</t>
        </is>
      </c>
      <c r="U20" s="70" t="inlineStr">
        <is>
          <t>cs_workflow_simulation/outputs/token_cost_summary.csv</t>
        </is>
      </c>
      <c r="V20" s="70">
        <f>IF(A20="","",TEXTJOIN("; ",TRUE,IF(B20="","Missing operating area",""),IF(E20="","Missing cadence",""),IF(I20="","Missing model",""),IF(D20="","Missing volume",""),IF(G20="","Missing input tokens",""),IF(M20="","Missing QA multiplier",""),IF(T20="","Missing assumption notes","")))</f>
        <v/>
      </c>
      <c r="W20" s="3" t="n"/>
      <c r="X20" s="3" t="n"/>
      <c r="Y20" s="3" t="n"/>
      <c r="Z20" s="3" t="n"/>
    </row>
    <row r="21" ht="37.5" customHeight="1" s="88">
      <c r="A21" s="77" t="inlineStr">
        <is>
          <t>Evaluation / QA audit sampling</t>
        </is>
      </c>
      <c r="B21" s="77" t="inlineStr">
        <is>
          <t>Evaluation / QA</t>
        </is>
      </c>
      <c r="C21" s="77" t="inlineStr">
        <is>
          <t>Weekly automated-check audit pass</t>
        </is>
      </c>
      <c r="D21" s="78" t="n">
        <v>1</v>
      </c>
      <c r="E21" s="79" t="inlineStr">
        <is>
          <t>Weekly</t>
        </is>
      </c>
      <c r="F21" s="78">
        <f t="array" ref="F21">IFERROR(XLOOKUP(E21,'Cadence Reference'!$A$5:$A$12,'Cadence Reference'!$B$5:$B$12),"")</f>
        <v/>
      </c>
      <c r="G21" s="78" t="n">
        <v>4000</v>
      </c>
      <c r="H21" s="78" t="n">
        <v>500</v>
      </c>
      <c r="I21" s="80" t="inlineStr">
        <is>
          <t>GPT-5.4 mini</t>
        </is>
      </c>
      <c r="J21" s="81">
        <f t="array" ref="J21">IFERROR(XLOOKUP(I21,'Pricing Reference'!$B$5:$B$12,'Pricing Reference'!$D$5:$D$12),"")</f>
        <v/>
      </c>
      <c r="K21" s="81">
        <f t="array" ref="K21">IFERROR(XLOOKUP(I21,'Pricing Reference'!$B$5:$B$12,'Pricing Reference'!$E$5:$E$12),"")</f>
        <v/>
      </c>
      <c r="L21" s="60" t="n">
        <v>0.05</v>
      </c>
      <c r="M21" s="82" t="n">
        <v>1</v>
      </c>
      <c r="N21" s="59">
        <f>IF(OR(G21="",I21=""),"",((G21*J21)+(H21*K21))/1000000)</f>
        <v/>
      </c>
      <c r="O21" s="59">
        <f>IF(N21="","",N21*(1+L21)*M21)</f>
        <v/>
      </c>
      <c r="P21" s="59">
        <f>IF(OR(D21="",O21=""),"",D21*O21)</f>
        <v/>
      </c>
      <c r="Q21" s="83">
        <f>IF(OR(P21="",F21=""),"",P21*F21)</f>
        <v/>
      </c>
      <c r="R21" s="59" t="n"/>
      <c r="S21" s="60">
        <f>IF(R21="","",IF(O21=0,"",R21/O21-1))</f>
        <v/>
      </c>
      <c r="T21" s="77" t="inlineStr">
        <is>
          <t>NOT MEASURED -- FULL ESTIMATE. The 4 evaluation checks in workflow.py (Urgent coverage, high-severity routing, brief completeness, full QS coverage) are deterministic Python and cost $0 in tokens today. This row estimates what an LLM-as-judge audit pass sanity-checking a sample of those results would cost in production; token sizes are assumed by analogy to the quality-review stage, not measured from any run.</t>
        </is>
      </c>
      <c r="U21" s="77" t="inlineStr">
        <is>
          <t>Estimate -- no measurement source</t>
        </is>
      </c>
      <c r="V21" s="77">
        <f>IF(A21="","",TEXTJOIN("; ",TRUE,IF(B21="","Missing operating area",""),IF(E21="","Missing cadence",""),IF(I21="","Missing model",""),IF(D21="","Missing volume",""),IF(G21="","Missing input tokens",""),IF(M21="","Missing QA multiplier",""),IF(T21="","Missing assumption notes","")))</f>
        <v/>
      </c>
      <c r="W21" s="3" t="n"/>
      <c r="X21" s="3" t="n"/>
      <c r="Y21" s="3" t="n"/>
      <c r="Z21" s="3" t="n"/>
    </row>
    <row r="22" ht="37.5" customHeight="1" s="88">
      <c r="A22" s="70" t="n"/>
      <c r="B22" s="70" t="n"/>
      <c r="C22" s="70" t="n"/>
      <c r="D22" s="71" t="n"/>
      <c r="E22" s="72" t="n"/>
      <c r="F22" s="71">
        <f t="array" ref="F22">IFERROR(XLOOKUP(E22,'Cadence Reference'!$A$5:$A$12,'Cadence Reference'!$B$5:$B$12),"")</f>
        <v/>
      </c>
      <c r="G22" s="71" t="n"/>
      <c r="H22" s="71" t="n"/>
      <c r="I22" s="73" t="n"/>
      <c r="J22" s="74">
        <f t="array" ref="J22">IFERROR(XLOOKUP(I22,'Pricing Reference'!$B$5:$B$12,'Pricing Reference'!$D$5:$D$12),"")</f>
        <v/>
      </c>
      <c r="K22" s="74">
        <f t="array" ref="K22">IFERROR(XLOOKUP(I22,'Pricing Reference'!$B$5:$B$12,'Pricing Reference'!$E$5:$E$12),"")</f>
        <v/>
      </c>
      <c r="L22" s="69" t="n"/>
      <c r="M22" s="75" t="n"/>
      <c r="N22" s="68">
        <f>IF(OR(G22="",I22=""),"",((G22*J22)+(H22*K22))/1000000)</f>
        <v/>
      </c>
      <c r="O22" s="68">
        <f>IF(N22="","",N22*(1+L22)*M22)</f>
        <v/>
      </c>
      <c r="P22" s="68">
        <f>IF(OR(D22="",O22=""),"",D22*O22)</f>
        <v/>
      </c>
      <c r="Q22" s="76">
        <f>IF(OR(P22="",F22=""),"",P22*F22)</f>
        <v/>
      </c>
      <c r="R22" s="68" t="n"/>
      <c r="S22" s="69">
        <f>IF(R22="","",IF(O22=0,"",R22/O22-1))</f>
        <v/>
      </c>
      <c r="T22" s="70" t="n"/>
      <c r="U22" s="70" t="n"/>
      <c r="V22" s="70">
        <f>IF(A22="","",TEXTJOIN("; ",TRUE,IF(B22="","Missing operating area",""),IF(E22="","Missing cadence",""),IF(I22="","Missing model",""),IF(D22="","Missing volume",""),IF(G22="","Missing input tokens",""),IF(M22="","Missing QA multiplier",""),IF(T22="","Missing assumption notes","")))</f>
        <v/>
      </c>
      <c r="W22" s="3" t="n"/>
      <c r="X22" s="3" t="n"/>
      <c r="Y22" s="3" t="n"/>
      <c r="Z22" s="3" t="n"/>
    </row>
    <row r="23" ht="37.5" customHeight="1" s="88">
      <c r="A23" s="77" t="n"/>
      <c r="B23" s="77" t="n"/>
      <c r="C23" s="77" t="n"/>
      <c r="D23" s="78" t="n"/>
      <c r="E23" s="79" t="n"/>
      <c r="F23" s="78">
        <f t="array" ref="F23">IFERROR(XLOOKUP(E23,'Cadence Reference'!$A$5:$A$12,'Cadence Reference'!$B$5:$B$12),"")</f>
        <v/>
      </c>
      <c r="G23" s="78" t="n"/>
      <c r="H23" s="78" t="n"/>
      <c r="I23" s="80" t="n"/>
      <c r="J23" s="81">
        <f t="array" ref="J23">IFERROR(XLOOKUP(I23,'Pricing Reference'!$B$5:$B$12,'Pricing Reference'!$D$5:$D$12),"")</f>
        <v/>
      </c>
      <c r="K23" s="81">
        <f t="array" ref="K23">IFERROR(XLOOKUP(I23,'Pricing Reference'!$B$5:$B$12,'Pricing Reference'!$E$5:$E$12),"")</f>
        <v/>
      </c>
      <c r="L23" s="60" t="n"/>
      <c r="M23" s="82" t="n"/>
      <c r="N23" s="59">
        <f>IF(OR(G23="",I23=""),"",((G23*J23)+(H23*K23))/1000000)</f>
        <v/>
      </c>
      <c r="O23" s="59">
        <f>IF(N23="","",N23*(1+L23)*M23)</f>
        <v/>
      </c>
      <c r="P23" s="59">
        <f>IF(OR(D23="",O23=""),"",D23*O23)</f>
        <v/>
      </c>
      <c r="Q23" s="83">
        <f>IF(OR(P23="",F23=""),"",P23*F23)</f>
        <v/>
      </c>
      <c r="R23" s="59" t="n"/>
      <c r="S23" s="60">
        <f>IF(R23="","",IF(O23=0,"",R23/O23-1))</f>
        <v/>
      </c>
      <c r="T23" s="77" t="n"/>
      <c r="U23" s="77" t="n"/>
      <c r="V23" s="77">
        <f>IF(A23="","",TEXTJOIN("; ",TRUE,IF(B23="","Missing operating area",""),IF(E23="","Missing cadence",""),IF(I23="","Missing model",""),IF(D23="","Missing volume",""),IF(G23="","Missing input tokens",""),IF(M23="","Missing QA multiplier",""),IF(T23="","Missing assumption notes","")))</f>
        <v/>
      </c>
      <c r="W23" s="3" t="n"/>
      <c r="X23" s="3" t="n"/>
      <c r="Y23" s="3" t="n"/>
      <c r="Z23" s="3" t="n"/>
    </row>
    <row r="24" ht="37.5" customHeight="1" s="88">
      <c r="A24" s="70" t="n"/>
      <c r="B24" s="70" t="n"/>
      <c r="C24" s="70" t="n"/>
      <c r="D24" s="71" t="n"/>
      <c r="E24" s="72" t="n"/>
      <c r="F24" s="71">
        <f t="array" ref="F24">IFERROR(XLOOKUP(E24,'Cadence Reference'!$A$5:$A$12,'Cadence Reference'!$B$5:$B$12),"")</f>
        <v/>
      </c>
      <c r="G24" s="71" t="n"/>
      <c r="H24" s="71" t="n"/>
      <c r="I24" s="73" t="n"/>
      <c r="J24" s="74">
        <f t="array" ref="J24">IFERROR(XLOOKUP(I24,'Pricing Reference'!$B$5:$B$12,'Pricing Reference'!$D$5:$D$12),"")</f>
        <v/>
      </c>
      <c r="K24" s="74">
        <f t="array" ref="K24">IFERROR(XLOOKUP(I24,'Pricing Reference'!$B$5:$B$12,'Pricing Reference'!$E$5:$E$12),"")</f>
        <v/>
      </c>
      <c r="L24" s="69" t="n"/>
      <c r="M24" s="75" t="n"/>
      <c r="N24" s="68">
        <f>IF(OR(G24="",I24=""),"",((G24*J24)+(H24*K24))/1000000)</f>
        <v/>
      </c>
      <c r="O24" s="68">
        <f>IF(N24="","",N24*(1+L24)*M24)</f>
        <v/>
      </c>
      <c r="P24" s="68">
        <f>IF(OR(D24="",O24=""),"",D24*O24)</f>
        <v/>
      </c>
      <c r="Q24" s="76">
        <f>IF(OR(P24="",F24=""),"",P24*F24)</f>
        <v/>
      </c>
      <c r="R24" s="68" t="n"/>
      <c r="S24" s="69">
        <f>IF(R24="","",IF(O24=0,"",R24/O24-1))</f>
        <v/>
      </c>
      <c r="T24" s="70" t="n"/>
      <c r="U24" s="70" t="n"/>
      <c r="V24" s="70">
        <f>IF(A24="","",TEXTJOIN("; ",TRUE,IF(B24="","Missing operating area",""),IF(E24="","Missing cadence",""),IF(I24="","Missing model",""),IF(D24="","Missing volume",""),IF(G24="","Missing input tokens",""),IF(M24="","Missing QA multiplier",""),IF(T24="","Missing assumption notes","")))</f>
        <v/>
      </c>
      <c r="W24" s="3" t="n"/>
      <c r="X24" s="3" t="n"/>
      <c r="Y24" s="3" t="n"/>
      <c r="Z24" s="3" t="n"/>
    </row>
    <row r="25" ht="37.5" customHeight="1" s="88">
      <c r="A25" s="77" t="n"/>
      <c r="B25" s="77" t="n"/>
      <c r="C25" s="77" t="n"/>
      <c r="D25" s="78" t="n"/>
      <c r="E25" s="79" t="n"/>
      <c r="F25" s="78">
        <f t="array" ref="F25">IFERROR(XLOOKUP(E25,'Cadence Reference'!$A$5:$A$12,'Cadence Reference'!$B$5:$B$12),"")</f>
        <v/>
      </c>
      <c r="G25" s="78" t="n"/>
      <c r="H25" s="78" t="n"/>
      <c r="I25" s="80" t="n"/>
      <c r="J25" s="81">
        <f t="array" ref="J25">IFERROR(XLOOKUP(I25,'Pricing Reference'!$B$5:$B$12,'Pricing Reference'!$D$5:$D$12),"")</f>
        <v/>
      </c>
      <c r="K25" s="81">
        <f t="array" ref="K25">IFERROR(XLOOKUP(I25,'Pricing Reference'!$B$5:$B$12,'Pricing Reference'!$E$5:$E$12),"")</f>
        <v/>
      </c>
      <c r="L25" s="60" t="n"/>
      <c r="M25" s="82" t="n"/>
      <c r="N25" s="59">
        <f>IF(OR(G25="",I25=""),"",((G25*J25)+(H25*K25))/1000000)</f>
        <v/>
      </c>
      <c r="O25" s="59">
        <f>IF(N25="","",N25*(1+L25)*M25)</f>
        <v/>
      </c>
      <c r="P25" s="59">
        <f>IF(OR(D25="",O25=""),"",D25*O25)</f>
        <v/>
      </c>
      <c r="Q25" s="83">
        <f>IF(OR(P25="",F25=""),"",P25*F25)</f>
        <v/>
      </c>
      <c r="R25" s="59" t="n"/>
      <c r="S25" s="60">
        <f>IF(R25="","",IF(O25=0,"",R25/O25-1))</f>
        <v/>
      </c>
      <c r="T25" s="77" t="n"/>
      <c r="U25" s="77" t="n"/>
      <c r="V25" s="77">
        <f>IF(A25="","",TEXTJOIN("; ",TRUE,IF(B25="","Missing operating area",""),IF(E25="","Missing cadence",""),IF(I25="","Missing model",""),IF(D25="","Missing volume",""),IF(G25="","Missing input tokens",""),IF(M25="","Missing QA multiplier",""),IF(T25="","Missing assumption notes","")))</f>
        <v/>
      </c>
      <c r="W25" s="3" t="n"/>
      <c r="X25" s="3" t="n"/>
      <c r="Y25" s="3" t="n"/>
      <c r="Z25" s="3" t="n"/>
    </row>
    <row r="26" ht="37.5" customHeight="1" s="88">
      <c r="A26" s="70" t="n"/>
      <c r="B26" s="70" t="n"/>
      <c r="C26" s="70" t="n"/>
      <c r="D26" s="71" t="n"/>
      <c r="E26" s="72" t="n"/>
      <c r="F26" s="71">
        <f t="array" ref="F26">IFERROR(XLOOKUP(E26,'Cadence Reference'!$A$5:$A$12,'Cadence Reference'!$B$5:$B$12),"")</f>
        <v/>
      </c>
      <c r="G26" s="71" t="n"/>
      <c r="H26" s="71" t="n"/>
      <c r="I26" s="73" t="n"/>
      <c r="J26" s="74">
        <f t="array" ref="J26">IFERROR(XLOOKUP(I26,'Pricing Reference'!$B$5:$B$12,'Pricing Reference'!$D$5:$D$12),"")</f>
        <v/>
      </c>
      <c r="K26" s="74">
        <f t="array" ref="K26">IFERROR(XLOOKUP(I26,'Pricing Reference'!$B$5:$B$12,'Pricing Reference'!$E$5:$E$12),"")</f>
        <v/>
      </c>
      <c r="L26" s="69" t="n"/>
      <c r="M26" s="75" t="n"/>
      <c r="N26" s="68">
        <f>IF(OR(G26="",I26=""),"",((G26*J26)+(H26*K26))/1000000)</f>
        <v/>
      </c>
      <c r="O26" s="68">
        <f>IF(N26="","",N26*(1+L26)*M26)</f>
        <v/>
      </c>
      <c r="P26" s="68">
        <f>IF(OR(D26="",O26=""),"",D26*O26)</f>
        <v/>
      </c>
      <c r="Q26" s="76">
        <f>IF(OR(P26="",F26=""),"",P26*F26)</f>
        <v/>
      </c>
      <c r="R26" s="68" t="n"/>
      <c r="S26" s="69">
        <f>IF(R26="","",IF(O26=0,"",R26/O26-1))</f>
        <v/>
      </c>
      <c r="T26" s="70" t="n"/>
      <c r="U26" s="70" t="n"/>
      <c r="V26" s="70">
        <f>IF(A26="","",TEXTJOIN("; ",TRUE,IF(B26="","Missing operating area",""),IF(E26="","Missing cadence",""),IF(I26="","Missing model",""),IF(D26="","Missing volume",""),IF(G26="","Missing input tokens",""),IF(M26="","Missing QA multiplier",""),IF(T26="","Missing assumption notes","")))</f>
        <v/>
      </c>
      <c r="W26" s="3" t="n"/>
      <c r="X26" s="3" t="n"/>
      <c r="Y26" s="3" t="n"/>
      <c r="Z26" s="3" t="n"/>
    </row>
    <row r="27" ht="37.5" customHeight="1" s="88">
      <c r="A27" s="77" t="n"/>
      <c r="B27" s="77" t="n"/>
      <c r="C27" s="77" t="n"/>
      <c r="D27" s="78" t="n"/>
      <c r="E27" s="79" t="n"/>
      <c r="F27" s="78">
        <f t="array" ref="F27">IFERROR(XLOOKUP(E27,'Cadence Reference'!$A$5:$A$12,'Cadence Reference'!$B$5:$B$12),"")</f>
        <v/>
      </c>
      <c r="G27" s="78" t="n"/>
      <c r="H27" s="78" t="n"/>
      <c r="I27" s="80" t="n"/>
      <c r="J27" s="81">
        <f t="array" ref="J27">IFERROR(XLOOKUP(I27,'Pricing Reference'!$B$5:$B$12,'Pricing Reference'!$D$5:$D$12),"")</f>
        <v/>
      </c>
      <c r="K27" s="81">
        <f t="array" ref="K27">IFERROR(XLOOKUP(I27,'Pricing Reference'!$B$5:$B$12,'Pricing Reference'!$E$5:$E$12),"")</f>
        <v/>
      </c>
      <c r="L27" s="60" t="n"/>
      <c r="M27" s="82" t="n"/>
      <c r="N27" s="59">
        <f>IF(OR(G27="",I27=""),"",((G27*J27)+(H27*K27))/1000000)</f>
        <v/>
      </c>
      <c r="O27" s="59">
        <f>IF(N27="","",N27*(1+L27)*M27)</f>
        <v/>
      </c>
      <c r="P27" s="59">
        <f>IF(OR(D27="",O27=""),"",D27*O27)</f>
        <v/>
      </c>
      <c r="Q27" s="83">
        <f>IF(OR(P27="",F27=""),"",P27*F27)</f>
        <v/>
      </c>
      <c r="R27" s="59" t="n"/>
      <c r="S27" s="60">
        <f>IF(R27="","",IF(O27=0,"",R27/O27-1))</f>
        <v/>
      </c>
      <c r="T27" s="77" t="n"/>
      <c r="U27" s="77" t="n"/>
      <c r="V27" s="77">
        <f>IF(A27="","",TEXTJOIN("; ",TRUE,IF(B27="","Missing operating area",""),IF(E27="","Missing cadence",""),IF(I27="","Missing model",""),IF(D27="","Missing volume",""),IF(G27="","Missing input tokens",""),IF(M27="","Missing QA multiplier",""),IF(T27="","Missing assumption notes","")))</f>
        <v/>
      </c>
      <c r="W27" s="3" t="n"/>
      <c r="X27" s="3" t="n"/>
      <c r="Y27" s="3" t="n"/>
      <c r="Z27" s="3" t="n"/>
    </row>
    <row r="28" ht="37.5" customHeight="1" s="88">
      <c r="A28" s="70" t="n"/>
      <c r="B28" s="70" t="n"/>
      <c r="C28" s="70" t="n"/>
      <c r="D28" s="71" t="n"/>
      <c r="E28" s="72" t="n"/>
      <c r="F28" s="71">
        <f t="array" ref="F28">IFERROR(XLOOKUP(E28,'Cadence Reference'!$A$5:$A$12,'Cadence Reference'!$B$5:$B$12),"")</f>
        <v/>
      </c>
      <c r="G28" s="71" t="n"/>
      <c r="H28" s="71" t="n"/>
      <c r="I28" s="73" t="n"/>
      <c r="J28" s="74">
        <f t="array" ref="J28">IFERROR(XLOOKUP(I28,'Pricing Reference'!$B$5:$B$12,'Pricing Reference'!$D$5:$D$12),"")</f>
        <v/>
      </c>
      <c r="K28" s="74">
        <f t="array" ref="K28">IFERROR(XLOOKUP(I28,'Pricing Reference'!$B$5:$B$12,'Pricing Reference'!$E$5:$E$12),"")</f>
        <v/>
      </c>
      <c r="L28" s="69" t="n"/>
      <c r="M28" s="75" t="n"/>
      <c r="N28" s="68">
        <f>IF(OR(G28="",I28=""),"",((G28*J28)+(H28*K28))/1000000)</f>
        <v/>
      </c>
      <c r="O28" s="68">
        <f>IF(N28="","",N28*(1+L28)*M28)</f>
        <v/>
      </c>
      <c r="P28" s="68">
        <f>IF(OR(D28="",O28=""),"",D28*O28)</f>
        <v/>
      </c>
      <c r="Q28" s="76">
        <f>IF(OR(P28="",F28=""),"",P28*F28)</f>
        <v/>
      </c>
      <c r="R28" s="68" t="n"/>
      <c r="S28" s="69">
        <f>IF(R28="","",IF(O28=0,"",R28/O28-1))</f>
        <v/>
      </c>
      <c r="T28" s="70" t="n"/>
      <c r="U28" s="70" t="n"/>
      <c r="V28" s="70">
        <f>IF(A28="","",TEXTJOIN("; ",TRUE,IF(B28="","Missing operating area",""),IF(E28="","Missing cadence",""),IF(I28="","Missing model",""),IF(D28="","Missing volume",""),IF(G28="","Missing input tokens",""),IF(M28="","Missing QA multiplier",""),IF(T28="","Missing assumption notes","")))</f>
        <v/>
      </c>
      <c r="W28" s="3" t="n"/>
      <c r="X28" s="3" t="n"/>
      <c r="Y28" s="3" t="n"/>
      <c r="Z28" s="3" t="n"/>
    </row>
    <row r="29" ht="37.5" customHeight="1" s="88">
      <c r="A29" s="77" t="n"/>
      <c r="B29" s="77" t="n"/>
      <c r="C29" s="77" t="n"/>
      <c r="D29" s="78" t="n"/>
      <c r="E29" s="79" t="n"/>
      <c r="F29" s="78">
        <f t="array" ref="F29">IFERROR(XLOOKUP(E29,'Cadence Reference'!$A$5:$A$12,'Cadence Reference'!$B$5:$B$12),"")</f>
        <v/>
      </c>
      <c r="G29" s="78" t="n"/>
      <c r="H29" s="78" t="n"/>
      <c r="I29" s="80" t="n"/>
      <c r="J29" s="81">
        <f t="array" ref="J29">IFERROR(XLOOKUP(I29,'Pricing Reference'!$B$5:$B$12,'Pricing Reference'!$D$5:$D$12),"")</f>
        <v/>
      </c>
      <c r="K29" s="81">
        <f t="array" ref="K29">IFERROR(XLOOKUP(I29,'Pricing Reference'!$B$5:$B$12,'Pricing Reference'!$E$5:$E$12),"")</f>
        <v/>
      </c>
      <c r="L29" s="60" t="n"/>
      <c r="M29" s="82" t="n"/>
      <c r="N29" s="59">
        <f>IF(OR(G29="",I29=""),"",((G29*J29)+(H29*K29))/1000000)</f>
        <v/>
      </c>
      <c r="O29" s="59">
        <f>IF(N29="","",N29*(1+L29)*M29)</f>
        <v/>
      </c>
      <c r="P29" s="59">
        <f>IF(OR(D29="",O29=""),"",D29*O29)</f>
        <v/>
      </c>
      <c r="Q29" s="83">
        <f>IF(OR(P29="",F29=""),"",P29*F29)</f>
        <v/>
      </c>
      <c r="R29" s="59" t="n"/>
      <c r="S29" s="60">
        <f>IF(R29="","",IF(O29=0,"",R29/O29-1))</f>
        <v/>
      </c>
      <c r="T29" s="77" t="n"/>
      <c r="U29" s="77" t="n"/>
      <c r="V29" s="77">
        <f>IF(A29="","",TEXTJOIN("; ",TRUE,IF(B29="","Missing operating area",""),IF(E29="","Missing cadence",""),IF(I29="","Missing model",""),IF(D29="","Missing volume",""),IF(G29="","Missing input tokens",""),IF(M29="","Missing QA multiplier",""),IF(T29="","Missing assumption notes","")))</f>
        <v/>
      </c>
      <c r="W29" s="3" t="n"/>
      <c r="X29" s="3" t="n"/>
      <c r="Y29" s="3" t="n"/>
      <c r="Z29" s="3" t="n"/>
    </row>
    <row r="30" ht="37.5" customHeight="1" s="88">
      <c r="A30" s="70" t="n"/>
      <c r="B30" s="70" t="n"/>
      <c r="C30" s="70" t="n"/>
      <c r="D30" s="71" t="n"/>
      <c r="E30" s="72" t="n"/>
      <c r="F30" s="71">
        <f t="array" ref="F30">IFERROR(XLOOKUP(E30,'Cadence Reference'!$A$5:$A$12,'Cadence Reference'!$B$5:$B$12),"")</f>
        <v/>
      </c>
      <c r="G30" s="71" t="n"/>
      <c r="H30" s="71" t="n"/>
      <c r="I30" s="73" t="n"/>
      <c r="J30" s="74">
        <f t="array" ref="J30">IFERROR(XLOOKUP(I30,'Pricing Reference'!$B$5:$B$12,'Pricing Reference'!$D$5:$D$12),"")</f>
        <v/>
      </c>
      <c r="K30" s="74">
        <f t="array" ref="K30">IFERROR(XLOOKUP(I30,'Pricing Reference'!$B$5:$B$12,'Pricing Reference'!$E$5:$E$12),"")</f>
        <v/>
      </c>
      <c r="L30" s="69" t="n"/>
      <c r="M30" s="75" t="n"/>
      <c r="N30" s="68">
        <f>IF(OR(G30="",I30=""),"",((G30*J30)+(H30*K30))/1000000)</f>
        <v/>
      </c>
      <c r="O30" s="68">
        <f>IF(N30="","",N30*(1+L30)*M30)</f>
        <v/>
      </c>
      <c r="P30" s="68">
        <f>IF(OR(D30="",O30=""),"",D30*O30)</f>
        <v/>
      </c>
      <c r="Q30" s="76">
        <f>IF(OR(P30="",F30=""),"",P30*F30)</f>
        <v/>
      </c>
      <c r="R30" s="68" t="n"/>
      <c r="S30" s="69">
        <f>IF(R30="","",IF(O30=0,"",R30/O30-1))</f>
        <v/>
      </c>
      <c r="T30" s="70" t="n"/>
      <c r="U30" s="70" t="n"/>
      <c r="V30" s="70">
        <f>IF(A30="","",TEXTJOIN("; ",TRUE,IF(B30="","Missing operating area",""),IF(E30="","Missing cadence",""),IF(I30="","Missing model",""),IF(D30="","Missing volume",""),IF(G30="","Missing input tokens",""),IF(M30="","Missing QA multiplier",""),IF(T30="","Missing assumption notes","")))</f>
        <v/>
      </c>
      <c r="W30" s="3" t="n"/>
      <c r="X30" s="3" t="n"/>
      <c r="Y30" s="3" t="n"/>
      <c r="Z30" s="3" t="n"/>
    </row>
    <row r="31" ht="37.5" customHeight="1" s="88">
      <c r="A31" s="77" t="n"/>
      <c r="B31" s="77" t="n"/>
      <c r="C31" s="77" t="n"/>
      <c r="D31" s="78" t="n"/>
      <c r="E31" s="79" t="n"/>
      <c r="F31" s="78">
        <f t="array" ref="F31">IFERROR(XLOOKUP(E31,'Cadence Reference'!$A$5:$A$12,'Cadence Reference'!$B$5:$B$12),"")</f>
        <v/>
      </c>
      <c r="G31" s="78" t="n"/>
      <c r="H31" s="78" t="n"/>
      <c r="I31" s="80" t="n"/>
      <c r="J31" s="81">
        <f t="array" ref="J31">IFERROR(XLOOKUP(I31,'Pricing Reference'!$B$5:$B$12,'Pricing Reference'!$D$5:$D$12),"")</f>
        <v/>
      </c>
      <c r="K31" s="81">
        <f t="array" ref="K31">IFERROR(XLOOKUP(I31,'Pricing Reference'!$B$5:$B$12,'Pricing Reference'!$E$5:$E$12),"")</f>
        <v/>
      </c>
      <c r="L31" s="60" t="n"/>
      <c r="M31" s="82" t="n"/>
      <c r="N31" s="59">
        <f>IF(OR(G31="",I31=""),"",((G31*J31)+(H31*K31))/1000000)</f>
        <v/>
      </c>
      <c r="O31" s="59">
        <f>IF(N31="","",N31*(1+L31)*M31)</f>
        <v/>
      </c>
      <c r="P31" s="59">
        <f>IF(OR(D31="",O31=""),"",D31*O31)</f>
        <v/>
      </c>
      <c r="Q31" s="83">
        <f>IF(OR(P31="",F31=""),"",P31*F31)</f>
        <v/>
      </c>
      <c r="R31" s="59" t="n"/>
      <c r="S31" s="60">
        <f>IF(R31="","",IF(O31=0,"",R31/O31-1))</f>
        <v/>
      </c>
      <c r="T31" s="77" t="n"/>
      <c r="U31" s="77" t="n"/>
      <c r="V31" s="77">
        <f>IF(A31="","",TEXTJOIN("; ",TRUE,IF(B31="","Missing operating area",""),IF(E31="","Missing cadence",""),IF(I31="","Missing model",""),IF(D31="","Missing volume",""),IF(G31="","Missing input tokens",""),IF(M31="","Missing QA multiplier",""),IF(T31="","Missing assumption notes","")))</f>
        <v/>
      </c>
      <c r="W31" s="3" t="n"/>
      <c r="X31" s="3" t="n"/>
      <c r="Y31" s="3" t="n"/>
      <c r="Z31" s="3" t="n"/>
    </row>
    <row r="32" ht="37.5" customHeight="1" s="88">
      <c r="A32" s="70" t="n"/>
      <c r="B32" s="70" t="n"/>
      <c r="C32" s="70" t="n"/>
      <c r="D32" s="71" t="n"/>
      <c r="E32" s="72" t="n"/>
      <c r="F32" s="71">
        <f t="array" ref="F32">IFERROR(XLOOKUP(E32,'Cadence Reference'!$A$5:$A$12,'Cadence Reference'!$B$5:$B$12),"")</f>
        <v/>
      </c>
      <c r="G32" s="71" t="n"/>
      <c r="H32" s="71" t="n"/>
      <c r="I32" s="73" t="n"/>
      <c r="J32" s="74">
        <f t="array" ref="J32">IFERROR(XLOOKUP(I32,'Pricing Reference'!$B$5:$B$12,'Pricing Reference'!$D$5:$D$12),"")</f>
        <v/>
      </c>
      <c r="K32" s="74">
        <f t="array" ref="K32">IFERROR(XLOOKUP(I32,'Pricing Reference'!$B$5:$B$12,'Pricing Reference'!$E$5:$E$12),"")</f>
        <v/>
      </c>
      <c r="L32" s="69" t="n"/>
      <c r="M32" s="75" t="n"/>
      <c r="N32" s="68">
        <f>IF(OR(G32="",I32=""),"",((G32*J32)+(H32*K32))/1000000)</f>
        <v/>
      </c>
      <c r="O32" s="68">
        <f>IF(N32="","",N32*(1+L32)*M32)</f>
        <v/>
      </c>
      <c r="P32" s="68">
        <f>IF(OR(D32="",O32=""),"",D32*O32)</f>
        <v/>
      </c>
      <c r="Q32" s="76">
        <f>IF(OR(P32="",F32=""),"",P32*F32)</f>
        <v/>
      </c>
      <c r="R32" s="68" t="n"/>
      <c r="S32" s="69">
        <f>IF(R32="","",IF(O32=0,"",R32/O32-1))</f>
        <v/>
      </c>
      <c r="T32" s="70" t="n"/>
      <c r="U32" s="70" t="n"/>
      <c r="V32" s="70">
        <f>IF(A32="","",TEXTJOIN("; ",TRUE,IF(B32="","Missing operating area",""),IF(E32="","Missing cadence",""),IF(I32="","Missing model",""),IF(D32="","Missing volume",""),IF(G32="","Missing input tokens",""),IF(M32="","Missing QA multiplier",""),IF(T32="","Missing assumption notes","")))</f>
        <v/>
      </c>
      <c r="W32" s="3" t="n"/>
      <c r="X32" s="3" t="n"/>
      <c r="Y32" s="3" t="n"/>
      <c r="Z32" s="3" t="n"/>
    </row>
    <row r="33" ht="37.5" customHeight="1" s="88">
      <c r="A33" s="77" t="n"/>
      <c r="B33" s="77" t="n"/>
      <c r="C33" s="77" t="n"/>
      <c r="D33" s="78" t="n"/>
      <c r="E33" s="79" t="n"/>
      <c r="F33" s="78">
        <f t="array" ref="F33">IFERROR(XLOOKUP(E33,'Cadence Reference'!$A$5:$A$12,'Cadence Reference'!$B$5:$B$12),"")</f>
        <v/>
      </c>
      <c r="G33" s="78" t="n"/>
      <c r="H33" s="78" t="n"/>
      <c r="I33" s="80" t="n"/>
      <c r="J33" s="81">
        <f t="array" ref="J33">IFERROR(XLOOKUP(I33,'Pricing Reference'!$B$5:$B$12,'Pricing Reference'!$D$5:$D$12),"")</f>
        <v/>
      </c>
      <c r="K33" s="81">
        <f t="array" ref="K33">IFERROR(XLOOKUP(I33,'Pricing Reference'!$B$5:$B$12,'Pricing Reference'!$E$5:$E$12),"")</f>
        <v/>
      </c>
      <c r="L33" s="60" t="n"/>
      <c r="M33" s="82" t="n"/>
      <c r="N33" s="59">
        <f>IF(OR(G33="",I33=""),"",((G33*J33)+(H33*K33))/1000000)</f>
        <v/>
      </c>
      <c r="O33" s="59">
        <f>IF(N33="","",N33*(1+L33)*M33)</f>
        <v/>
      </c>
      <c r="P33" s="59">
        <f>IF(OR(D33="",O33=""),"",D33*O33)</f>
        <v/>
      </c>
      <c r="Q33" s="83">
        <f>IF(OR(P33="",F33=""),"",P33*F33)</f>
        <v/>
      </c>
      <c r="R33" s="59" t="n"/>
      <c r="S33" s="60">
        <f>IF(R33="","",IF(O33=0,"",R33/O33-1))</f>
        <v/>
      </c>
      <c r="T33" s="77" t="n"/>
      <c r="U33" s="77" t="n"/>
      <c r="V33" s="77">
        <f>IF(A33="","",TEXTJOIN("; ",TRUE,IF(B33="","Missing operating area",""),IF(E33="","Missing cadence",""),IF(I33="","Missing model",""),IF(D33="","Missing volume",""),IF(G33="","Missing input tokens",""),IF(M33="","Missing QA multiplier",""),IF(T33="","Missing assumption notes","")))</f>
        <v/>
      </c>
      <c r="W33" s="3" t="n"/>
      <c r="X33" s="3" t="n"/>
      <c r="Y33" s="3" t="n"/>
      <c r="Z33" s="3" t="n"/>
    </row>
    <row r="34" ht="37.5" customHeight="1" s="88">
      <c r="A34" s="70" t="n"/>
      <c r="B34" s="70" t="n"/>
      <c r="C34" s="70" t="n"/>
      <c r="D34" s="71" t="n"/>
      <c r="E34" s="72" t="n"/>
      <c r="F34" s="71">
        <f t="array" ref="F34">IFERROR(XLOOKUP(E34,'Cadence Reference'!$A$5:$A$12,'Cadence Reference'!$B$5:$B$12),"")</f>
        <v/>
      </c>
      <c r="G34" s="71" t="n"/>
      <c r="H34" s="71" t="n"/>
      <c r="I34" s="73" t="n"/>
      <c r="J34" s="74">
        <f t="array" ref="J34">IFERROR(XLOOKUP(I34,'Pricing Reference'!$B$5:$B$12,'Pricing Reference'!$D$5:$D$12),"")</f>
        <v/>
      </c>
      <c r="K34" s="74">
        <f t="array" ref="K34">IFERROR(XLOOKUP(I34,'Pricing Reference'!$B$5:$B$12,'Pricing Reference'!$E$5:$E$12),"")</f>
        <v/>
      </c>
      <c r="L34" s="69" t="n"/>
      <c r="M34" s="75" t="n"/>
      <c r="N34" s="68">
        <f>IF(OR(G34="",I34=""),"",((G34*J34)+(H34*K34))/1000000)</f>
        <v/>
      </c>
      <c r="O34" s="68">
        <f>IF(N34="","",N34*(1+L34)*M34)</f>
        <v/>
      </c>
      <c r="P34" s="68">
        <f>IF(OR(D34="",O34=""),"",D34*O34)</f>
        <v/>
      </c>
      <c r="Q34" s="76">
        <f>IF(OR(P34="",F34=""),"",P34*F34)</f>
        <v/>
      </c>
      <c r="R34" s="68" t="n"/>
      <c r="S34" s="69">
        <f>IF(R34="","",IF(O34=0,"",R34/O34-1))</f>
        <v/>
      </c>
      <c r="T34" s="70" t="n"/>
      <c r="U34" s="70" t="n"/>
      <c r="V34" s="70">
        <f>IF(A34="","",TEXTJOIN("; ",TRUE,IF(B34="","Missing operating area",""),IF(E34="","Missing cadence",""),IF(I34="","Missing model",""),IF(D34="","Missing volume",""),IF(G34="","Missing input tokens",""),IF(M34="","Missing QA multiplier",""),IF(T34="","Missing assumption notes","")))</f>
        <v/>
      </c>
      <c r="W34" s="3" t="n"/>
      <c r="X34" s="3" t="n"/>
      <c r="Y34" s="3" t="n"/>
      <c r="Z34" s="3" t="n"/>
    </row>
    <row r="35" ht="37.5" customHeight="1" s="88">
      <c r="A35" s="77" t="n"/>
      <c r="B35" s="77" t="n"/>
      <c r="C35" s="77" t="n"/>
      <c r="D35" s="78" t="n"/>
      <c r="E35" s="79" t="n"/>
      <c r="F35" s="78">
        <f t="array" ref="F35">IFERROR(XLOOKUP(E35,'Cadence Reference'!$A$5:$A$12,'Cadence Reference'!$B$5:$B$12),"")</f>
        <v/>
      </c>
      <c r="G35" s="78" t="n"/>
      <c r="H35" s="78" t="n"/>
      <c r="I35" s="80" t="n"/>
      <c r="J35" s="81">
        <f t="array" ref="J35">IFERROR(XLOOKUP(I35,'Pricing Reference'!$B$5:$B$12,'Pricing Reference'!$D$5:$D$12),"")</f>
        <v/>
      </c>
      <c r="K35" s="81">
        <f t="array" ref="K35">IFERROR(XLOOKUP(I35,'Pricing Reference'!$B$5:$B$12,'Pricing Reference'!$E$5:$E$12),"")</f>
        <v/>
      </c>
      <c r="L35" s="60" t="n"/>
      <c r="M35" s="82" t="n"/>
      <c r="N35" s="59">
        <f>IF(OR(G35="",I35=""),"",((G35*J35)+(H35*K35))/1000000)</f>
        <v/>
      </c>
      <c r="O35" s="59">
        <f>IF(N35="","",N35*(1+L35)*M35)</f>
        <v/>
      </c>
      <c r="P35" s="59">
        <f>IF(OR(D35="",O35=""),"",D35*O35)</f>
        <v/>
      </c>
      <c r="Q35" s="83">
        <f>IF(OR(P35="",F35=""),"",P35*F35)</f>
        <v/>
      </c>
      <c r="R35" s="59" t="n"/>
      <c r="S35" s="60">
        <f>IF(R35="","",IF(O35=0,"",R35/O35-1))</f>
        <v/>
      </c>
      <c r="T35" s="77" t="n"/>
      <c r="U35" s="77" t="n"/>
      <c r="V35" s="77">
        <f>IF(A35="","",TEXTJOIN("; ",TRUE,IF(B35="","Missing operating area",""),IF(E35="","Missing cadence",""),IF(I35="","Missing model",""),IF(D35="","Missing volume",""),IF(G35="","Missing input tokens",""),IF(M35="","Missing QA multiplier",""),IF(T35="","Missing assumption notes","")))</f>
        <v/>
      </c>
      <c r="W35" s="3" t="n"/>
      <c r="X35" s="3" t="n"/>
      <c r="Y35" s="3" t="n"/>
      <c r="Z35" s="3" t="n"/>
    </row>
    <row r="36" ht="37.5" customHeight="1" s="88">
      <c r="A36" s="70" t="n"/>
      <c r="B36" s="70" t="n"/>
      <c r="C36" s="70" t="n"/>
      <c r="D36" s="71" t="n"/>
      <c r="E36" s="72" t="n"/>
      <c r="F36" s="71">
        <f t="array" ref="F36">IFERROR(XLOOKUP(E36,'Cadence Reference'!$A$5:$A$12,'Cadence Reference'!$B$5:$B$12),"")</f>
        <v/>
      </c>
      <c r="G36" s="71" t="n"/>
      <c r="H36" s="71" t="n"/>
      <c r="I36" s="73" t="n"/>
      <c r="J36" s="74">
        <f t="array" ref="J36">IFERROR(XLOOKUP(I36,'Pricing Reference'!$B$5:$B$12,'Pricing Reference'!$D$5:$D$12),"")</f>
        <v/>
      </c>
      <c r="K36" s="74">
        <f t="array" ref="K36">IFERROR(XLOOKUP(I36,'Pricing Reference'!$B$5:$B$12,'Pricing Reference'!$E$5:$E$12),"")</f>
        <v/>
      </c>
      <c r="L36" s="69" t="n"/>
      <c r="M36" s="75" t="n"/>
      <c r="N36" s="68">
        <f>IF(OR(G36="",I36=""),"",((G36*J36)+(H36*K36))/1000000)</f>
        <v/>
      </c>
      <c r="O36" s="68">
        <f>IF(N36="","",N36*(1+L36)*M36)</f>
        <v/>
      </c>
      <c r="P36" s="68">
        <f>IF(OR(D36="",O36=""),"",D36*O36)</f>
        <v/>
      </c>
      <c r="Q36" s="76">
        <f>IF(OR(P36="",F36=""),"",P36*F36)</f>
        <v/>
      </c>
      <c r="R36" s="68" t="n"/>
      <c r="S36" s="69">
        <f>IF(R36="","",IF(O36=0,"",R36/O36-1))</f>
        <v/>
      </c>
      <c r="T36" s="70" t="n"/>
      <c r="U36" s="70" t="n"/>
      <c r="V36" s="70">
        <f>IF(A36="","",TEXTJOIN("; ",TRUE,IF(B36="","Missing operating area",""),IF(E36="","Missing cadence",""),IF(I36="","Missing model",""),IF(D36="","Missing volume",""),IF(G36="","Missing input tokens",""),IF(M36="","Missing QA multiplier",""),IF(T36="","Missing assumption notes","")))</f>
        <v/>
      </c>
      <c r="W36" s="3" t="n"/>
      <c r="X36" s="3" t="n"/>
      <c r="Y36" s="3" t="n"/>
      <c r="Z36" s="3" t="n"/>
    </row>
    <row r="37" ht="37.5" customHeight="1" s="88">
      <c r="A37" s="77" t="n"/>
      <c r="B37" s="77" t="n"/>
      <c r="C37" s="77" t="n"/>
      <c r="D37" s="78" t="n"/>
      <c r="E37" s="79" t="n"/>
      <c r="F37" s="78">
        <f t="array" ref="F37">IFERROR(XLOOKUP(E37,'Cadence Reference'!$A$5:$A$12,'Cadence Reference'!$B$5:$B$12),"")</f>
        <v/>
      </c>
      <c r="G37" s="78" t="n"/>
      <c r="H37" s="78" t="n"/>
      <c r="I37" s="80" t="n"/>
      <c r="J37" s="81">
        <f t="array" ref="J37">IFERROR(XLOOKUP(I37,'Pricing Reference'!$B$5:$B$12,'Pricing Reference'!$D$5:$D$12),"")</f>
        <v/>
      </c>
      <c r="K37" s="81">
        <f t="array" ref="K37">IFERROR(XLOOKUP(I37,'Pricing Reference'!$B$5:$B$12,'Pricing Reference'!$E$5:$E$12),"")</f>
        <v/>
      </c>
      <c r="L37" s="60" t="n"/>
      <c r="M37" s="82" t="n"/>
      <c r="N37" s="59">
        <f>IF(OR(G37="",I37=""),"",((G37*J37)+(H37*K37))/1000000)</f>
        <v/>
      </c>
      <c r="O37" s="59">
        <f>IF(N37="","",N37*(1+L37)*M37)</f>
        <v/>
      </c>
      <c r="P37" s="59">
        <f>IF(OR(D37="",O37=""),"",D37*O37)</f>
        <v/>
      </c>
      <c r="Q37" s="83">
        <f>IF(OR(P37="",F37=""),"",P37*F37)</f>
        <v/>
      </c>
      <c r="R37" s="59" t="n"/>
      <c r="S37" s="60">
        <f>IF(R37="","",IF(O37=0,"",R37/O37-1))</f>
        <v/>
      </c>
      <c r="T37" s="77" t="n"/>
      <c r="U37" s="77" t="n"/>
      <c r="V37" s="77">
        <f>IF(A37="","",TEXTJOIN("; ",TRUE,IF(B37="","Missing operating area",""),IF(E37="","Missing cadence",""),IF(I37="","Missing model",""),IF(D37="","Missing volume",""),IF(G37="","Missing input tokens",""),IF(M37="","Missing QA multiplier",""),IF(T37="","Missing assumption notes","")))</f>
        <v/>
      </c>
      <c r="W37" s="3" t="n"/>
      <c r="X37" s="3" t="n"/>
      <c r="Y37" s="3" t="n"/>
      <c r="Z37" s="3" t="n"/>
    </row>
    <row r="38" ht="37.5" customHeight="1" s="88">
      <c r="A38" s="70" t="n"/>
      <c r="B38" s="70" t="n"/>
      <c r="C38" s="70" t="n"/>
      <c r="D38" s="71" t="n"/>
      <c r="E38" s="72" t="n"/>
      <c r="F38" s="71">
        <f t="array" ref="F38">IFERROR(XLOOKUP(E38,'Cadence Reference'!$A$5:$A$12,'Cadence Reference'!$B$5:$B$12),"")</f>
        <v/>
      </c>
      <c r="G38" s="71" t="n"/>
      <c r="H38" s="71" t="n"/>
      <c r="I38" s="73" t="n"/>
      <c r="J38" s="74">
        <f t="array" ref="J38">IFERROR(XLOOKUP(I38,'Pricing Reference'!$B$5:$B$12,'Pricing Reference'!$D$5:$D$12),"")</f>
        <v/>
      </c>
      <c r="K38" s="74">
        <f t="array" ref="K38">IFERROR(XLOOKUP(I38,'Pricing Reference'!$B$5:$B$12,'Pricing Reference'!$E$5:$E$12),"")</f>
        <v/>
      </c>
      <c r="L38" s="69" t="n"/>
      <c r="M38" s="75" t="n"/>
      <c r="N38" s="68">
        <f>IF(OR(G38="",I38=""),"",((G38*J38)+(H38*K38))/1000000)</f>
        <v/>
      </c>
      <c r="O38" s="68">
        <f>IF(N38="","",N38*(1+L38)*M38)</f>
        <v/>
      </c>
      <c r="P38" s="68">
        <f>IF(OR(D38="",O38=""),"",D38*O38)</f>
        <v/>
      </c>
      <c r="Q38" s="76">
        <f>IF(OR(P38="",F38=""),"",P38*F38)</f>
        <v/>
      </c>
      <c r="R38" s="68" t="n"/>
      <c r="S38" s="69">
        <f>IF(R38="","",IF(O38=0,"",R38/O38-1))</f>
        <v/>
      </c>
      <c r="T38" s="70" t="n"/>
      <c r="U38" s="70" t="n"/>
      <c r="V38" s="70">
        <f>IF(A38="","",TEXTJOIN("; ",TRUE,IF(B38="","Missing operating area",""),IF(E38="","Missing cadence",""),IF(I38="","Missing model",""),IF(D38="","Missing volume",""),IF(G38="","Missing input tokens",""),IF(M38="","Missing QA multiplier",""),IF(T38="","Missing assumption notes","")))</f>
        <v/>
      </c>
      <c r="W38" s="3" t="n"/>
      <c r="X38" s="3" t="n"/>
      <c r="Y38" s="3" t="n"/>
      <c r="Z38" s="3" t="n"/>
    </row>
    <row r="39" ht="37.5" customHeight="1" s="88">
      <c r="A39" s="77" t="n"/>
      <c r="B39" s="77" t="n"/>
      <c r="C39" s="77" t="n"/>
      <c r="D39" s="78" t="n"/>
      <c r="E39" s="79" t="n"/>
      <c r="F39" s="78">
        <f t="array" ref="F39">IFERROR(XLOOKUP(E39,'Cadence Reference'!$A$5:$A$12,'Cadence Reference'!$B$5:$B$12),"")</f>
        <v/>
      </c>
      <c r="G39" s="78" t="n"/>
      <c r="H39" s="78" t="n"/>
      <c r="I39" s="80" t="n"/>
      <c r="J39" s="81">
        <f t="array" ref="J39">IFERROR(XLOOKUP(I39,'Pricing Reference'!$B$5:$B$12,'Pricing Reference'!$D$5:$D$12),"")</f>
        <v/>
      </c>
      <c r="K39" s="81">
        <f t="array" ref="K39">IFERROR(XLOOKUP(I39,'Pricing Reference'!$B$5:$B$12,'Pricing Reference'!$E$5:$E$12),"")</f>
        <v/>
      </c>
      <c r="L39" s="60" t="n"/>
      <c r="M39" s="82" t="n"/>
      <c r="N39" s="59">
        <f>IF(OR(G39="",I39=""),"",((G39*J39)+(H39*K39))/1000000)</f>
        <v/>
      </c>
      <c r="O39" s="59">
        <f>IF(N39="","",N39*(1+L39)*M39)</f>
        <v/>
      </c>
      <c r="P39" s="59">
        <f>IF(OR(D39="",O39=""),"",D39*O39)</f>
        <v/>
      </c>
      <c r="Q39" s="83">
        <f>IF(OR(P39="",F39=""),"",P39*F39)</f>
        <v/>
      </c>
      <c r="R39" s="59" t="n"/>
      <c r="S39" s="60">
        <f>IF(R39="","",IF(O39=0,"",R39/O39-1))</f>
        <v/>
      </c>
      <c r="T39" s="77" t="n"/>
      <c r="U39" s="77" t="n"/>
      <c r="V39" s="77">
        <f>IF(A39="","",TEXTJOIN("; ",TRUE,IF(B39="","Missing operating area",""),IF(E39="","Missing cadence",""),IF(I39="","Missing model",""),IF(D39="","Missing volume",""),IF(G39="","Missing input tokens",""),IF(M39="","Missing QA multiplier",""),IF(T39="","Missing assumption notes","")))</f>
        <v/>
      </c>
      <c r="W39" s="3" t="n"/>
      <c r="X39" s="3" t="n"/>
      <c r="Y39" s="3" t="n"/>
      <c r="Z39" s="3" t="n"/>
    </row>
    <row r="40" ht="37.5" customHeight="1" s="88">
      <c r="A40" s="70" t="n"/>
      <c r="B40" s="70" t="n"/>
      <c r="C40" s="70" t="n"/>
      <c r="D40" s="71" t="n"/>
      <c r="E40" s="72" t="n"/>
      <c r="F40" s="71">
        <f t="array" ref="F40">IFERROR(XLOOKUP(E40,'Cadence Reference'!$A$5:$A$12,'Cadence Reference'!$B$5:$B$12),"")</f>
        <v/>
      </c>
      <c r="G40" s="71" t="n"/>
      <c r="H40" s="71" t="n"/>
      <c r="I40" s="73" t="n"/>
      <c r="J40" s="74">
        <f t="array" ref="J40">IFERROR(XLOOKUP(I40,'Pricing Reference'!$B$5:$B$12,'Pricing Reference'!$D$5:$D$12),"")</f>
        <v/>
      </c>
      <c r="K40" s="74">
        <f t="array" ref="K40">IFERROR(XLOOKUP(I40,'Pricing Reference'!$B$5:$B$12,'Pricing Reference'!$E$5:$E$12),"")</f>
        <v/>
      </c>
      <c r="L40" s="69" t="n"/>
      <c r="M40" s="75" t="n"/>
      <c r="N40" s="68">
        <f>IF(OR(G40="",I40=""),"",((G40*J40)+(H40*K40))/1000000)</f>
        <v/>
      </c>
      <c r="O40" s="68">
        <f>IF(N40="","",N40*(1+L40)*M40)</f>
        <v/>
      </c>
      <c r="P40" s="68">
        <f>IF(OR(D40="",O40=""),"",D40*O40)</f>
        <v/>
      </c>
      <c r="Q40" s="76">
        <f>IF(OR(P40="",F40=""),"",P40*F40)</f>
        <v/>
      </c>
      <c r="R40" s="68" t="n"/>
      <c r="S40" s="69">
        <f>IF(R40="","",IF(O40=0,"",R40/O40-1))</f>
        <v/>
      </c>
      <c r="T40" s="70" t="n"/>
      <c r="U40" s="70" t="n"/>
      <c r="V40" s="70">
        <f>IF(A40="","",TEXTJOIN("; ",TRUE,IF(B40="","Missing operating area",""),IF(E40="","Missing cadence",""),IF(I40="","Missing model",""),IF(D40="","Missing volume",""),IF(G40="","Missing input tokens",""),IF(M40="","Missing QA multiplier",""),IF(T40="","Missing assumption notes","")))</f>
        <v/>
      </c>
      <c r="W40" s="3" t="n"/>
      <c r="X40" s="3" t="n"/>
      <c r="Y40" s="3" t="n"/>
      <c r="Z40" s="3" t="n"/>
    </row>
    <row r="41" ht="37.5" customHeight="1" s="88">
      <c r="A41" s="77" t="n"/>
      <c r="B41" s="77" t="n"/>
      <c r="C41" s="77" t="n"/>
      <c r="D41" s="78" t="n"/>
      <c r="E41" s="79" t="n"/>
      <c r="F41" s="78">
        <f t="array" ref="F41">IFERROR(XLOOKUP(E41,'Cadence Reference'!$A$5:$A$12,'Cadence Reference'!$B$5:$B$12),"")</f>
        <v/>
      </c>
      <c r="G41" s="78" t="n"/>
      <c r="H41" s="78" t="n"/>
      <c r="I41" s="80" t="n"/>
      <c r="J41" s="81">
        <f t="array" ref="J41">IFERROR(XLOOKUP(I41,'Pricing Reference'!$B$5:$B$12,'Pricing Reference'!$D$5:$D$12),"")</f>
        <v/>
      </c>
      <c r="K41" s="81">
        <f t="array" ref="K41">IFERROR(XLOOKUP(I41,'Pricing Reference'!$B$5:$B$12,'Pricing Reference'!$E$5:$E$12),"")</f>
        <v/>
      </c>
      <c r="L41" s="60" t="n"/>
      <c r="M41" s="82" t="n"/>
      <c r="N41" s="59">
        <f>IF(OR(G41="",I41=""),"",((G41*J41)+(H41*K41))/1000000)</f>
        <v/>
      </c>
      <c r="O41" s="59">
        <f>IF(N41="","",N41*(1+L41)*M41)</f>
        <v/>
      </c>
      <c r="P41" s="59">
        <f>IF(OR(D41="",O41=""),"",D41*O41)</f>
        <v/>
      </c>
      <c r="Q41" s="83">
        <f>IF(OR(P41="",F41=""),"",P41*F41)</f>
        <v/>
      </c>
      <c r="R41" s="59" t="n"/>
      <c r="S41" s="60">
        <f>IF(R41="","",IF(O41=0,"",R41/O41-1))</f>
        <v/>
      </c>
      <c r="T41" s="77" t="n"/>
      <c r="U41" s="77" t="n"/>
      <c r="V41" s="77">
        <f>IF(A41="","",TEXTJOIN("; ",TRUE,IF(B41="","Missing operating area",""),IF(E41="","Missing cadence",""),IF(I41="","Missing model",""),IF(D41="","Missing volume",""),IF(G41="","Missing input tokens",""),IF(M41="","Missing QA multiplier",""),IF(T41="","Missing assumption notes","")))</f>
        <v/>
      </c>
      <c r="W41" s="3" t="n"/>
      <c r="X41" s="3" t="n"/>
      <c r="Y41" s="3" t="n"/>
      <c r="Z41" s="3" t="n"/>
    </row>
    <row r="42" ht="37.5" customHeight="1" s="88">
      <c r="A42" s="70" t="n"/>
      <c r="B42" s="70" t="n"/>
      <c r="C42" s="70" t="n"/>
      <c r="D42" s="71" t="n"/>
      <c r="E42" s="72" t="n"/>
      <c r="F42" s="71">
        <f t="array" ref="F42">IFERROR(XLOOKUP(E42,'Cadence Reference'!$A$5:$A$12,'Cadence Reference'!$B$5:$B$12),"")</f>
        <v/>
      </c>
      <c r="G42" s="71" t="n"/>
      <c r="H42" s="71" t="n"/>
      <c r="I42" s="73" t="n"/>
      <c r="J42" s="74">
        <f t="array" ref="J42">IFERROR(XLOOKUP(I42,'Pricing Reference'!$B$5:$B$12,'Pricing Reference'!$D$5:$D$12),"")</f>
        <v/>
      </c>
      <c r="K42" s="74">
        <f t="array" ref="K42">IFERROR(XLOOKUP(I42,'Pricing Reference'!$B$5:$B$12,'Pricing Reference'!$E$5:$E$12),"")</f>
        <v/>
      </c>
      <c r="L42" s="69" t="n"/>
      <c r="M42" s="75" t="n"/>
      <c r="N42" s="68">
        <f>IF(OR(G42="",I42=""),"",((G42*J42)+(H42*K42))/1000000)</f>
        <v/>
      </c>
      <c r="O42" s="68">
        <f>IF(N42="","",N42*(1+L42)*M42)</f>
        <v/>
      </c>
      <c r="P42" s="68">
        <f>IF(OR(D42="",O42=""),"",D42*O42)</f>
        <v/>
      </c>
      <c r="Q42" s="76">
        <f>IF(OR(P42="",F42=""),"",P42*F42)</f>
        <v/>
      </c>
      <c r="R42" s="68" t="n"/>
      <c r="S42" s="69">
        <f>IF(R42="","",IF(O42=0,"",R42/O42-1))</f>
        <v/>
      </c>
      <c r="T42" s="70" t="n"/>
      <c r="U42" s="70" t="n"/>
      <c r="V42" s="70">
        <f>IF(A42="","",TEXTJOIN("; ",TRUE,IF(B42="","Missing operating area",""),IF(E42="","Missing cadence",""),IF(I42="","Missing model",""),IF(D42="","Missing volume",""),IF(G42="","Missing input tokens",""),IF(M42="","Missing QA multiplier",""),IF(T42="","Missing assumption notes","")))</f>
        <v/>
      </c>
      <c r="W42" s="3" t="n"/>
      <c r="X42" s="3" t="n"/>
      <c r="Y42" s="3" t="n"/>
      <c r="Z42" s="3" t="n"/>
    </row>
    <row r="43" ht="37.5" customHeight="1" s="88">
      <c r="A43" s="77" t="n"/>
      <c r="B43" s="77" t="n"/>
      <c r="C43" s="77" t="n"/>
      <c r="D43" s="78" t="n"/>
      <c r="E43" s="79" t="n"/>
      <c r="F43" s="78">
        <f t="array" ref="F43">IFERROR(XLOOKUP(E43,'Cadence Reference'!$A$5:$A$12,'Cadence Reference'!$B$5:$B$12),"")</f>
        <v/>
      </c>
      <c r="G43" s="78" t="n"/>
      <c r="H43" s="78" t="n"/>
      <c r="I43" s="80" t="n"/>
      <c r="J43" s="81">
        <f t="array" ref="J43">IFERROR(XLOOKUP(I43,'Pricing Reference'!$B$5:$B$12,'Pricing Reference'!$D$5:$D$12),"")</f>
        <v/>
      </c>
      <c r="K43" s="81">
        <f t="array" ref="K43">IFERROR(XLOOKUP(I43,'Pricing Reference'!$B$5:$B$12,'Pricing Reference'!$E$5:$E$12),"")</f>
        <v/>
      </c>
      <c r="L43" s="60" t="n"/>
      <c r="M43" s="82" t="n"/>
      <c r="N43" s="59">
        <f>IF(OR(G43="",I43=""),"",((G43*J43)+(H43*K43))/1000000)</f>
        <v/>
      </c>
      <c r="O43" s="59">
        <f>IF(N43="","",N43*(1+L43)*M43)</f>
        <v/>
      </c>
      <c r="P43" s="59">
        <f>IF(OR(D43="",O43=""),"",D43*O43)</f>
        <v/>
      </c>
      <c r="Q43" s="83">
        <f>IF(OR(P43="",F43=""),"",P43*F43)</f>
        <v/>
      </c>
      <c r="R43" s="59" t="n"/>
      <c r="S43" s="60">
        <f>IF(R43="","",IF(O43=0,"",R43/O43-1))</f>
        <v/>
      </c>
      <c r="T43" s="77" t="n"/>
      <c r="U43" s="77" t="n"/>
      <c r="V43" s="77">
        <f>IF(A43="","",TEXTJOIN("; ",TRUE,IF(B43="","Missing operating area",""),IF(E43="","Missing cadence",""),IF(I43="","Missing model",""),IF(D43="","Missing volume",""),IF(G43="","Missing input tokens",""),IF(M43="","Missing QA multiplier",""),IF(T43="","Missing assumption notes","")))</f>
        <v/>
      </c>
      <c r="W43" s="3" t="n"/>
      <c r="X43" s="3" t="n"/>
      <c r="Y43" s="3" t="n"/>
      <c r="Z43" s="3" t="n"/>
    </row>
    <row r="44" ht="37.5" customHeight="1" s="88">
      <c r="A44" s="70" t="n"/>
      <c r="B44" s="70" t="n"/>
      <c r="C44" s="70" t="n"/>
      <c r="D44" s="71" t="n"/>
      <c r="E44" s="72" t="n"/>
      <c r="F44" s="71">
        <f t="array" ref="F44">IFERROR(XLOOKUP(E44,'Cadence Reference'!$A$5:$A$12,'Cadence Reference'!$B$5:$B$12),"")</f>
        <v/>
      </c>
      <c r="G44" s="71" t="n"/>
      <c r="H44" s="71" t="n"/>
      <c r="I44" s="73" t="n"/>
      <c r="J44" s="74">
        <f t="array" ref="J44">IFERROR(XLOOKUP(I44,'Pricing Reference'!$B$5:$B$12,'Pricing Reference'!$D$5:$D$12),"")</f>
        <v/>
      </c>
      <c r="K44" s="74">
        <f t="array" ref="K44">IFERROR(XLOOKUP(I44,'Pricing Reference'!$B$5:$B$12,'Pricing Reference'!$E$5:$E$12),"")</f>
        <v/>
      </c>
      <c r="L44" s="69" t="n"/>
      <c r="M44" s="75" t="n"/>
      <c r="N44" s="68">
        <f>IF(OR(G44="",I44=""),"",((G44*J44)+(H44*K44))/1000000)</f>
        <v/>
      </c>
      <c r="O44" s="68">
        <f>IF(N44="","",N44*(1+L44)*M44)</f>
        <v/>
      </c>
      <c r="P44" s="68">
        <f>IF(OR(D44="",O44=""),"",D44*O44)</f>
        <v/>
      </c>
      <c r="Q44" s="76">
        <f>IF(OR(P44="",F44=""),"",P44*F44)</f>
        <v/>
      </c>
      <c r="R44" s="68" t="n"/>
      <c r="S44" s="69">
        <f>IF(R44="","",IF(O44=0,"",R44/O44-1))</f>
        <v/>
      </c>
      <c r="T44" s="70" t="n"/>
      <c r="U44" s="70" t="n"/>
      <c r="V44" s="70">
        <f>IF(A44="","",TEXTJOIN("; ",TRUE,IF(B44="","Missing operating area",""),IF(E44="","Missing cadence",""),IF(I44="","Missing model",""),IF(D44="","Missing volume",""),IF(G44="","Missing input tokens",""),IF(M44="","Missing QA multiplier",""),IF(T44="","Missing assumption notes","")))</f>
        <v/>
      </c>
      <c r="W44" s="3" t="n"/>
      <c r="X44" s="3" t="n"/>
      <c r="Y44" s="3" t="n"/>
      <c r="Z44" s="3" t="n"/>
    </row>
    <row r="45" ht="37.5" customHeight="1" s="88">
      <c r="A45" s="77" t="n"/>
      <c r="B45" s="77" t="n"/>
      <c r="C45" s="77" t="n"/>
      <c r="D45" s="78" t="n"/>
      <c r="E45" s="79" t="n"/>
      <c r="F45" s="78">
        <f t="array" ref="F45">IFERROR(XLOOKUP(E45,'Cadence Reference'!$A$5:$A$12,'Cadence Reference'!$B$5:$B$12),"")</f>
        <v/>
      </c>
      <c r="G45" s="78" t="n"/>
      <c r="H45" s="78" t="n"/>
      <c r="I45" s="80" t="n"/>
      <c r="J45" s="81">
        <f t="array" ref="J45">IFERROR(XLOOKUP(I45,'Pricing Reference'!$B$5:$B$12,'Pricing Reference'!$D$5:$D$12),"")</f>
        <v/>
      </c>
      <c r="K45" s="81">
        <f t="array" ref="K45">IFERROR(XLOOKUP(I45,'Pricing Reference'!$B$5:$B$12,'Pricing Reference'!$E$5:$E$12),"")</f>
        <v/>
      </c>
      <c r="L45" s="60" t="n"/>
      <c r="M45" s="82" t="n"/>
      <c r="N45" s="59">
        <f>IF(OR(G45="",I45=""),"",((G45*J45)+(H45*K45))/1000000)</f>
        <v/>
      </c>
      <c r="O45" s="59">
        <f>IF(N45="","",N45*(1+L45)*M45)</f>
        <v/>
      </c>
      <c r="P45" s="59">
        <f>IF(OR(D45="",O45=""),"",D45*O45)</f>
        <v/>
      </c>
      <c r="Q45" s="83">
        <f>IF(OR(P45="",F45=""),"",P45*F45)</f>
        <v/>
      </c>
      <c r="R45" s="59" t="n"/>
      <c r="S45" s="60">
        <f>IF(R45="","",IF(O45=0,"",R45/O45-1))</f>
        <v/>
      </c>
      <c r="T45" s="77" t="n"/>
      <c r="U45" s="77" t="n"/>
      <c r="V45" s="77">
        <f>IF(A45="","",TEXTJOIN("; ",TRUE,IF(B45="","Missing operating area",""),IF(E45="","Missing cadence",""),IF(I45="","Missing model",""),IF(D45="","Missing volume",""),IF(G45="","Missing input tokens",""),IF(M45="","Missing QA multiplier",""),IF(T45="","Missing assumption notes","")))</f>
        <v/>
      </c>
      <c r="W45" s="3" t="n"/>
      <c r="X45" s="3" t="n"/>
      <c r="Y45" s="3" t="n"/>
      <c r="Z45" s="3" t="n"/>
    </row>
    <row r="46" ht="37.5" customHeight="1" s="88">
      <c r="A46" s="70" t="n"/>
      <c r="B46" s="70" t="n"/>
      <c r="C46" s="70" t="n"/>
      <c r="D46" s="71" t="n"/>
      <c r="E46" s="72" t="n"/>
      <c r="F46" s="71">
        <f t="array" ref="F46">IFERROR(XLOOKUP(E46,'Cadence Reference'!$A$5:$A$12,'Cadence Reference'!$B$5:$B$12),"")</f>
        <v/>
      </c>
      <c r="G46" s="71" t="n"/>
      <c r="H46" s="71" t="n"/>
      <c r="I46" s="73" t="n"/>
      <c r="J46" s="74">
        <f t="array" ref="J46">IFERROR(XLOOKUP(I46,'Pricing Reference'!$B$5:$B$12,'Pricing Reference'!$D$5:$D$12),"")</f>
        <v/>
      </c>
      <c r="K46" s="74">
        <f t="array" ref="K46">IFERROR(XLOOKUP(I46,'Pricing Reference'!$B$5:$B$12,'Pricing Reference'!$E$5:$E$12),"")</f>
        <v/>
      </c>
      <c r="L46" s="69" t="n"/>
      <c r="M46" s="75" t="n"/>
      <c r="N46" s="68">
        <f>IF(OR(G46="",I46=""),"",((G46*J46)+(H46*K46))/1000000)</f>
        <v/>
      </c>
      <c r="O46" s="68">
        <f>IF(N46="","",N46*(1+L46)*M46)</f>
        <v/>
      </c>
      <c r="P46" s="68">
        <f>IF(OR(D46="",O46=""),"",D46*O46)</f>
        <v/>
      </c>
      <c r="Q46" s="76">
        <f>IF(OR(P46="",F46=""),"",P46*F46)</f>
        <v/>
      </c>
      <c r="R46" s="68" t="n"/>
      <c r="S46" s="69">
        <f>IF(R46="","",IF(O46=0,"",R46/O46-1))</f>
        <v/>
      </c>
      <c r="T46" s="70" t="n"/>
      <c r="U46" s="70" t="n"/>
      <c r="V46" s="70">
        <f>IF(A46="","",TEXTJOIN("; ",TRUE,IF(B46="","Missing operating area",""),IF(E46="","Missing cadence",""),IF(I46="","Missing model",""),IF(D46="","Missing volume",""),IF(G46="","Missing input tokens",""),IF(M46="","Missing QA multiplier",""),IF(T46="","Missing assumption notes","")))</f>
        <v/>
      </c>
      <c r="W46" s="3" t="n"/>
      <c r="X46" s="3" t="n"/>
      <c r="Y46" s="3" t="n"/>
      <c r="Z46" s="3" t="n"/>
    </row>
    <row r="47" ht="37.5" customHeight="1" s="88">
      <c r="A47" s="77" t="n"/>
      <c r="B47" s="77" t="n"/>
      <c r="C47" s="77" t="n"/>
      <c r="D47" s="78" t="n"/>
      <c r="E47" s="79" t="n"/>
      <c r="F47" s="78">
        <f t="array" ref="F47">IFERROR(XLOOKUP(E47,'Cadence Reference'!$A$5:$A$12,'Cadence Reference'!$B$5:$B$12),"")</f>
        <v/>
      </c>
      <c r="G47" s="78" t="n"/>
      <c r="H47" s="78" t="n"/>
      <c r="I47" s="80" t="n"/>
      <c r="J47" s="81">
        <f t="array" ref="J47">IFERROR(XLOOKUP(I47,'Pricing Reference'!$B$5:$B$12,'Pricing Reference'!$D$5:$D$12),"")</f>
        <v/>
      </c>
      <c r="K47" s="81">
        <f t="array" ref="K47">IFERROR(XLOOKUP(I47,'Pricing Reference'!$B$5:$B$12,'Pricing Reference'!$E$5:$E$12),"")</f>
        <v/>
      </c>
      <c r="L47" s="60" t="n"/>
      <c r="M47" s="82" t="n"/>
      <c r="N47" s="59">
        <f>IF(OR(G47="",I47=""),"",((G47*J47)+(H47*K47))/1000000)</f>
        <v/>
      </c>
      <c r="O47" s="59">
        <f>IF(N47="","",N47*(1+L47)*M47)</f>
        <v/>
      </c>
      <c r="P47" s="59">
        <f>IF(OR(D47="",O47=""),"",D47*O47)</f>
        <v/>
      </c>
      <c r="Q47" s="83">
        <f>IF(OR(P47="",F47=""),"",P47*F47)</f>
        <v/>
      </c>
      <c r="R47" s="59" t="n"/>
      <c r="S47" s="60">
        <f>IF(R47="","",IF(O47=0,"",R47/O47-1))</f>
        <v/>
      </c>
      <c r="T47" s="77" t="n"/>
      <c r="U47" s="77" t="n"/>
      <c r="V47" s="77">
        <f>IF(A47="","",TEXTJOIN("; ",TRUE,IF(B47="","Missing operating area",""),IF(E47="","Missing cadence",""),IF(I47="","Missing model",""),IF(D47="","Missing volume",""),IF(G47="","Missing input tokens",""),IF(M47="","Missing QA multiplier",""),IF(T47="","Missing assumption notes","")))</f>
        <v/>
      </c>
      <c r="W47" s="3" t="n"/>
      <c r="X47" s="3" t="n"/>
      <c r="Y47" s="3" t="n"/>
      <c r="Z47" s="3" t="n"/>
    </row>
    <row r="48" ht="37.5" customHeight="1" s="88">
      <c r="A48" s="70" t="n"/>
      <c r="B48" s="70" t="n"/>
      <c r="C48" s="70" t="n"/>
      <c r="D48" s="71" t="n"/>
      <c r="E48" s="72" t="n"/>
      <c r="F48" s="71">
        <f t="array" ref="F48">IFERROR(XLOOKUP(E48,'Cadence Reference'!$A$5:$A$12,'Cadence Reference'!$B$5:$B$12),"")</f>
        <v/>
      </c>
      <c r="G48" s="71" t="n"/>
      <c r="H48" s="71" t="n"/>
      <c r="I48" s="73" t="n"/>
      <c r="J48" s="74">
        <f t="array" ref="J48">IFERROR(XLOOKUP(I48,'Pricing Reference'!$B$5:$B$12,'Pricing Reference'!$D$5:$D$12),"")</f>
        <v/>
      </c>
      <c r="K48" s="74">
        <f t="array" ref="K48">IFERROR(XLOOKUP(I48,'Pricing Reference'!$B$5:$B$12,'Pricing Reference'!$E$5:$E$12),"")</f>
        <v/>
      </c>
      <c r="L48" s="69" t="n"/>
      <c r="M48" s="75" t="n"/>
      <c r="N48" s="68">
        <f>IF(OR(G48="",I48=""),"",((G48*J48)+(H48*K48))/1000000)</f>
        <v/>
      </c>
      <c r="O48" s="68">
        <f>IF(N48="","",N48*(1+L48)*M48)</f>
        <v/>
      </c>
      <c r="P48" s="68">
        <f>IF(OR(D48="",O48=""),"",D48*O48)</f>
        <v/>
      </c>
      <c r="Q48" s="76">
        <f>IF(OR(P48="",F48=""),"",P48*F48)</f>
        <v/>
      </c>
      <c r="R48" s="68" t="n"/>
      <c r="S48" s="69">
        <f>IF(R48="","",IF(O48=0,"",R48/O48-1))</f>
        <v/>
      </c>
      <c r="T48" s="70" t="n"/>
      <c r="U48" s="70" t="n"/>
      <c r="V48" s="70">
        <f>IF(A48="","",TEXTJOIN("; ",TRUE,IF(B48="","Missing operating area",""),IF(E48="","Missing cadence",""),IF(I48="","Missing model",""),IF(D48="","Missing volume",""),IF(G48="","Missing input tokens",""),IF(M48="","Missing QA multiplier",""),IF(T48="","Missing assumption notes","")))</f>
        <v/>
      </c>
      <c r="W48" s="3" t="n"/>
      <c r="X48" s="3" t="n"/>
      <c r="Y48" s="3" t="n"/>
      <c r="Z48" s="3" t="n"/>
    </row>
    <row r="49" ht="37.5" customHeight="1" s="88">
      <c r="A49" s="77" t="n"/>
      <c r="B49" s="77" t="n"/>
      <c r="C49" s="77" t="n"/>
      <c r="D49" s="78" t="n"/>
      <c r="E49" s="79" t="n"/>
      <c r="F49" s="78">
        <f t="array" ref="F49">IFERROR(XLOOKUP(E49,'Cadence Reference'!$A$5:$A$12,'Cadence Reference'!$B$5:$B$12),"")</f>
        <v/>
      </c>
      <c r="G49" s="78" t="n"/>
      <c r="H49" s="78" t="n"/>
      <c r="I49" s="80" t="n"/>
      <c r="J49" s="81">
        <f t="array" ref="J49">IFERROR(XLOOKUP(I49,'Pricing Reference'!$B$5:$B$12,'Pricing Reference'!$D$5:$D$12),"")</f>
        <v/>
      </c>
      <c r="K49" s="81">
        <f t="array" ref="K49">IFERROR(XLOOKUP(I49,'Pricing Reference'!$B$5:$B$12,'Pricing Reference'!$E$5:$E$12),"")</f>
        <v/>
      </c>
      <c r="L49" s="60" t="n"/>
      <c r="M49" s="82" t="n"/>
      <c r="N49" s="59">
        <f>IF(OR(G49="",I49=""),"",((G49*J49)+(H49*K49))/1000000)</f>
        <v/>
      </c>
      <c r="O49" s="59">
        <f>IF(N49="","",N49*(1+L49)*M49)</f>
        <v/>
      </c>
      <c r="P49" s="59">
        <f>IF(OR(D49="",O49=""),"",D49*O49)</f>
        <v/>
      </c>
      <c r="Q49" s="83">
        <f>IF(OR(P49="",F49=""),"",P49*F49)</f>
        <v/>
      </c>
      <c r="R49" s="59" t="n"/>
      <c r="S49" s="60">
        <f>IF(R49="","",IF(O49=0,"",R49/O49-1))</f>
        <v/>
      </c>
      <c r="T49" s="77" t="n"/>
      <c r="U49" s="77" t="n"/>
      <c r="V49" s="77">
        <f>IF(A49="","",TEXTJOIN("; ",TRUE,IF(B49="","Missing operating area",""),IF(E49="","Missing cadence",""),IF(I49="","Missing model",""),IF(D49="","Missing volume",""),IF(G49="","Missing input tokens",""),IF(M49="","Missing QA multiplier",""),IF(T49="","Missing assumption notes","")))</f>
        <v/>
      </c>
      <c r="W49" s="3" t="n"/>
      <c r="X49" s="3" t="n"/>
      <c r="Y49" s="3" t="n"/>
      <c r="Z49" s="3" t="n"/>
    </row>
    <row r="50" ht="37.5" customHeight="1" s="88">
      <c r="A50" s="70" t="n"/>
      <c r="B50" s="70" t="n"/>
      <c r="C50" s="70" t="n"/>
      <c r="D50" s="71" t="n"/>
      <c r="E50" s="72" t="n"/>
      <c r="F50" s="71">
        <f t="array" ref="F50">IFERROR(XLOOKUP(E50,'Cadence Reference'!$A$5:$A$12,'Cadence Reference'!$B$5:$B$12),"")</f>
        <v/>
      </c>
      <c r="G50" s="71" t="n"/>
      <c r="H50" s="71" t="n"/>
      <c r="I50" s="73" t="n"/>
      <c r="J50" s="74">
        <f t="array" ref="J50">IFERROR(XLOOKUP(I50,'Pricing Reference'!$B$5:$B$12,'Pricing Reference'!$D$5:$D$12),"")</f>
        <v/>
      </c>
      <c r="K50" s="74">
        <f t="array" ref="K50">IFERROR(XLOOKUP(I50,'Pricing Reference'!$B$5:$B$12,'Pricing Reference'!$E$5:$E$12),"")</f>
        <v/>
      </c>
      <c r="L50" s="69" t="n"/>
      <c r="M50" s="75" t="n"/>
      <c r="N50" s="68">
        <f>IF(OR(G50="",I50=""),"",((G50*J50)+(H50*K50))/1000000)</f>
        <v/>
      </c>
      <c r="O50" s="68">
        <f>IF(N50="","",N50*(1+L50)*M50)</f>
        <v/>
      </c>
      <c r="P50" s="68">
        <f>IF(OR(D50="",O50=""),"",D50*O50)</f>
        <v/>
      </c>
      <c r="Q50" s="76">
        <f>IF(OR(P50="",F50=""),"",P50*F50)</f>
        <v/>
      </c>
      <c r="R50" s="68" t="n"/>
      <c r="S50" s="69">
        <f>IF(R50="","",IF(O50=0,"",R50/O50-1))</f>
        <v/>
      </c>
      <c r="T50" s="70" t="n"/>
      <c r="U50" s="70" t="n"/>
      <c r="V50" s="70">
        <f>IF(A50="","",TEXTJOIN("; ",TRUE,IF(B50="","Missing operating area",""),IF(E50="","Missing cadence",""),IF(I50="","Missing model",""),IF(D50="","Missing volume",""),IF(G50="","Missing input tokens",""),IF(M50="","Missing QA multiplier",""),IF(T50="","Missing assumption notes","")))</f>
        <v/>
      </c>
      <c r="W50" s="3" t="n"/>
      <c r="X50" s="3" t="n"/>
      <c r="Y50" s="3" t="n"/>
      <c r="Z50" s="3" t="n"/>
    </row>
    <row r="51" ht="37.5" customHeight="1" s="88">
      <c r="A51" s="77" t="n"/>
      <c r="B51" s="77" t="n"/>
      <c r="C51" s="77" t="n"/>
      <c r="D51" s="78" t="n"/>
      <c r="E51" s="79" t="n"/>
      <c r="F51" s="78">
        <f t="array" ref="F51">IFERROR(XLOOKUP(E51,'Cadence Reference'!$A$5:$A$12,'Cadence Reference'!$B$5:$B$12),"")</f>
        <v/>
      </c>
      <c r="G51" s="78" t="n"/>
      <c r="H51" s="78" t="n"/>
      <c r="I51" s="80" t="n"/>
      <c r="J51" s="81">
        <f t="array" ref="J51">IFERROR(XLOOKUP(I51,'Pricing Reference'!$B$5:$B$12,'Pricing Reference'!$D$5:$D$12),"")</f>
        <v/>
      </c>
      <c r="K51" s="81">
        <f t="array" ref="K51">IFERROR(XLOOKUP(I51,'Pricing Reference'!$B$5:$B$12,'Pricing Reference'!$E$5:$E$12),"")</f>
        <v/>
      </c>
      <c r="L51" s="60" t="n"/>
      <c r="M51" s="82" t="n"/>
      <c r="N51" s="59">
        <f>IF(OR(G51="",I51=""),"",((G51*J51)+(H51*K51))/1000000)</f>
        <v/>
      </c>
      <c r="O51" s="59">
        <f>IF(N51="","",N51*(1+L51)*M51)</f>
        <v/>
      </c>
      <c r="P51" s="59">
        <f>IF(OR(D51="",O51=""),"",D51*O51)</f>
        <v/>
      </c>
      <c r="Q51" s="83">
        <f>IF(OR(P51="",F51=""),"",P51*F51)</f>
        <v/>
      </c>
      <c r="R51" s="59" t="n"/>
      <c r="S51" s="60">
        <f>IF(R51="","",IF(O51=0,"",R51/O51-1))</f>
        <v/>
      </c>
      <c r="T51" s="77" t="n"/>
      <c r="U51" s="77" t="n"/>
      <c r="V51" s="77">
        <f>IF(A51="","",TEXTJOIN("; ",TRUE,IF(B51="","Missing operating area",""),IF(E51="","Missing cadence",""),IF(I51="","Missing model",""),IF(D51="","Missing volume",""),IF(G51="","Missing input tokens",""),IF(M51="","Missing QA multiplier",""),IF(T51="","Missing assumption notes","")))</f>
        <v/>
      </c>
      <c r="W51" s="3" t="n"/>
      <c r="X51" s="3" t="n"/>
      <c r="Y51" s="3" t="n"/>
      <c r="Z51" s="3" t="n"/>
    </row>
    <row r="52" ht="37.5" customHeight="1" s="88">
      <c r="A52" s="70" t="n"/>
      <c r="B52" s="70" t="n"/>
      <c r="C52" s="70" t="n"/>
      <c r="D52" s="71" t="n"/>
      <c r="E52" s="72" t="n"/>
      <c r="F52" s="71">
        <f t="array" ref="F52">IFERROR(XLOOKUP(E52,'Cadence Reference'!$A$5:$A$12,'Cadence Reference'!$B$5:$B$12),"")</f>
        <v/>
      </c>
      <c r="G52" s="71" t="n"/>
      <c r="H52" s="71" t="n"/>
      <c r="I52" s="73" t="n"/>
      <c r="J52" s="74">
        <f t="array" ref="J52">IFERROR(XLOOKUP(I52,'Pricing Reference'!$B$5:$B$12,'Pricing Reference'!$D$5:$D$12),"")</f>
        <v/>
      </c>
      <c r="K52" s="74">
        <f t="array" ref="K52">IFERROR(XLOOKUP(I52,'Pricing Reference'!$B$5:$B$12,'Pricing Reference'!$E$5:$E$12),"")</f>
        <v/>
      </c>
      <c r="L52" s="69" t="n"/>
      <c r="M52" s="75" t="n"/>
      <c r="N52" s="68">
        <f>IF(OR(G52="",I52=""),"",((G52*J52)+(H52*K52))/1000000)</f>
        <v/>
      </c>
      <c r="O52" s="68">
        <f>IF(N52="","",N52*(1+L52)*M52)</f>
        <v/>
      </c>
      <c r="P52" s="68">
        <f>IF(OR(D52="",O52=""),"",D52*O52)</f>
        <v/>
      </c>
      <c r="Q52" s="76">
        <f>IF(OR(P52="",F52=""),"",P52*F52)</f>
        <v/>
      </c>
      <c r="R52" s="68" t="n"/>
      <c r="S52" s="69">
        <f>IF(R52="","",IF(O52=0,"",R52/O52-1))</f>
        <v/>
      </c>
      <c r="T52" s="70" t="n"/>
      <c r="U52" s="70" t="n"/>
      <c r="V52" s="70">
        <f>IF(A52="","",TEXTJOIN("; ",TRUE,IF(B52="","Missing operating area",""),IF(E52="","Missing cadence",""),IF(I52="","Missing model",""),IF(D52="","Missing volume",""),IF(G52="","Missing input tokens",""),IF(M52="","Missing QA multiplier",""),IF(T52="","Missing assumption notes","")))</f>
        <v/>
      </c>
      <c r="W52" s="3" t="n"/>
      <c r="X52" s="3" t="n"/>
      <c r="Y52" s="3" t="n"/>
      <c r="Z52" s="3" t="n"/>
    </row>
    <row r="53" ht="37.5" customHeight="1" s="88">
      <c r="A53" s="77" t="n"/>
      <c r="B53" s="77" t="n"/>
      <c r="C53" s="77" t="n"/>
      <c r="D53" s="78" t="n"/>
      <c r="E53" s="79" t="n"/>
      <c r="F53" s="78">
        <f t="array" ref="F53">IFERROR(XLOOKUP(E53,'Cadence Reference'!$A$5:$A$12,'Cadence Reference'!$B$5:$B$12),"")</f>
        <v/>
      </c>
      <c r="G53" s="78" t="n"/>
      <c r="H53" s="78" t="n"/>
      <c r="I53" s="80" t="n"/>
      <c r="J53" s="81">
        <f t="array" ref="J53">IFERROR(XLOOKUP(I53,'Pricing Reference'!$B$5:$B$12,'Pricing Reference'!$D$5:$D$12),"")</f>
        <v/>
      </c>
      <c r="K53" s="81">
        <f t="array" ref="K53">IFERROR(XLOOKUP(I53,'Pricing Reference'!$B$5:$B$12,'Pricing Reference'!$E$5:$E$12),"")</f>
        <v/>
      </c>
      <c r="L53" s="60" t="n"/>
      <c r="M53" s="82" t="n"/>
      <c r="N53" s="59">
        <f>IF(OR(G53="",I53=""),"",((G53*J53)+(H53*K53))/1000000)</f>
        <v/>
      </c>
      <c r="O53" s="59">
        <f>IF(N53="","",N53*(1+L53)*M53)</f>
        <v/>
      </c>
      <c r="P53" s="59">
        <f>IF(OR(D53="",O53=""),"",D53*O53)</f>
        <v/>
      </c>
      <c r="Q53" s="83">
        <f>IF(OR(P53="",F53=""),"",P53*F53)</f>
        <v/>
      </c>
      <c r="R53" s="59" t="n"/>
      <c r="S53" s="60">
        <f>IF(R53="","",IF(O53=0,"",R53/O53-1))</f>
        <v/>
      </c>
      <c r="T53" s="77" t="n"/>
      <c r="U53" s="77" t="n"/>
      <c r="V53" s="77">
        <f>IF(A53="","",TEXTJOIN("; ",TRUE,IF(B53="","Missing operating area",""),IF(E53="","Missing cadence",""),IF(I53="","Missing model",""),IF(D53="","Missing volume",""),IF(G53="","Missing input tokens",""),IF(M53="","Missing QA multiplier",""),IF(T53="","Missing assumption notes","")))</f>
        <v/>
      </c>
      <c r="W53" s="3" t="n"/>
      <c r="X53" s="3" t="n"/>
      <c r="Y53" s="3" t="n"/>
      <c r="Z53" s="3" t="n"/>
    </row>
    <row r="54" ht="37.5" customHeight="1" s="88">
      <c r="A54" s="70" t="n"/>
      <c r="B54" s="70" t="n"/>
      <c r="C54" s="70" t="n"/>
      <c r="D54" s="71" t="n"/>
      <c r="E54" s="72" t="n"/>
      <c r="F54" s="71">
        <f t="array" ref="F54">IFERROR(XLOOKUP(E54,'Cadence Reference'!$A$5:$A$12,'Cadence Reference'!$B$5:$B$12),"")</f>
        <v/>
      </c>
      <c r="G54" s="71" t="n"/>
      <c r="H54" s="71" t="n"/>
      <c r="I54" s="73" t="n"/>
      <c r="J54" s="74">
        <f t="array" ref="J54">IFERROR(XLOOKUP(I54,'Pricing Reference'!$B$5:$B$12,'Pricing Reference'!$D$5:$D$12),"")</f>
        <v/>
      </c>
      <c r="K54" s="74">
        <f t="array" ref="K54">IFERROR(XLOOKUP(I54,'Pricing Reference'!$B$5:$B$12,'Pricing Reference'!$E$5:$E$12),"")</f>
        <v/>
      </c>
      <c r="L54" s="69" t="n"/>
      <c r="M54" s="75" t="n"/>
      <c r="N54" s="68">
        <f>IF(OR(G54="",I54=""),"",((G54*J54)+(H54*K54))/1000000)</f>
        <v/>
      </c>
      <c r="O54" s="68">
        <f>IF(N54="","",N54*(1+L54)*M54)</f>
        <v/>
      </c>
      <c r="P54" s="68">
        <f>IF(OR(D54="",O54=""),"",D54*O54)</f>
        <v/>
      </c>
      <c r="Q54" s="76">
        <f>IF(OR(P54="",F54=""),"",P54*F54)</f>
        <v/>
      </c>
      <c r="R54" s="68" t="n"/>
      <c r="S54" s="69">
        <f>IF(R54="","",IF(O54=0,"",R54/O54-1))</f>
        <v/>
      </c>
      <c r="T54" s="70" t="n"/>
      <c r="U54" s="70" t="n"/>
      <c r="V54" s="70">
        <f>IF(A54="","",TEXTJOIN("; ",TRUE,IF(B54="","Missing operating area",""),IF(E54="","Missing cadence",""),IF(I54="","Missing model",""),IF(D54="","Missing volume",""),IF(G54="","Missing input tokens",""),IF(M54="","Missing QA multiplier",""),IF(T54="","Missing assumption notes","")))</f>
        <v/>
      </c>
      <c r="W54" s="3" t="n"/>
      <c r="X54" s="3" t="n"/>
      <c r="Y54" s="3" t="n"/>
      <c r="Z54" s="3" t="n"/>
    </row>
    <row r="55" ht="37.5" customHeight="1" s="88">
      <c r="A55" s="77" t="n"/>
      <c r="B55" s="77" t="n"/>
      <c r="C55" s="77" t="n"/>
      <c r="D55" s="78" t="n"/>
      <c r="E55" s="79" t="n"/>
      <c r="F55" s="78">
        <f t="array" ref="F55">IFERROR(XLOOKUP(E55,'Cadence Reference'!$A$5:$A$12,'Cadence Reference'!$B$5:$B$12),"")</f>
        <v/>
      </c>
      <c r="G55" s="78" t="n"/>
      <c r="H55" s="78" t="n"/>
      <c r="I55" s="80" t="n"/>
      <c r="J55" s="81">
        <f t="array" ref="J55">IFERROR(XLOOKUP(I55,'Pricing Reference'!$B$5:$B$12,'Pricing Reference'!$D$5:$D$12),"")</f>
        <v/>
      </c>
      <c r="K55" s="81">
        <f t="array" ref="K55">IFERROR(XLOOKUP(I55,'Pricing Reference'!$B$5:$B$12,'Pricing Reference'!$E$5:$E$12),"")</f>
        <v/>
      </c>
      <c r="L55" s="60" t="n"/>
      <c r="M55" s="82" t="n"/>
      <c r="N55" s="59">
        <f>IF(OR(G55="",I55=""),"",((G55*J55)+(H55*K55))/1000000)</f>
        <v/>
      </c>
      <c r="O55" s="59">
        <f>IF(N55="","",N55*(1+L55)*M55)</f>
        <v/>
      </c>
      <c r="P55" s="59">
        <f>IF(OR(D55="",O55=""),"",D55*O55)</f>
        <v/>
      </c>
      <c r="Q55" s="83">
        <f>IF(OR(P55="",F55=""),"",P55*F55)</f>
        <v/>
      </c>
      <c r="R55" s="59" t="n"/>
      <c r="S55" s="60">
        <f>IF(R55="","",IF(O55=0,"",R55/O55-1))</f>
        <v/>
      </c>
      <c r="T55" s="77" t="n"/>
      <c r="U55" s="77" t="n"/>
      <c r="V55" s="77">
        <f>IF(A55="","",TEXTJOIN("; ",TRUE,IF(B55="","Missing operating area",""),IF(E55="","Missing cadence",""),IF(I55="","Missing model",""),IF(D55="","Missing volume",""),IF(G55="","Missing input tokens",""),IF(M55="","Missing QA multiplier",""),IF(T55="","Missing assumption notes","")))</f>
        <v/>
      </c>
      <c r="W55" s="3" t="n"/>
      <c r="X55" s="3" t="n"/>
      <c r="Y55" s="3" t="n"/>
      <c r="Z55" s="3" t="n"/>
    </row>
    <row r="56" ht="37.5" customHeight="1" s="88">
      <c r="A56" s="70" t="n"/>
      <c r="B56" s="70" t="n"/>
      <c r="C56" s="70" t="n"/>
      <c r="D56" s="71" t="n"/>
      <c r="E56" s="72" t="n"/>
      <c r="F56" s="71">
        <f t="array" ref="F56">IFERROR(XLOOKUP(E56,'Cadence Reference'!$A$5:$A$12,'Cadence Reference'!$B$5:$B$12),"")</f>
        <v/>
      </c>
      <c r="G56" s="71" t="n"/>
      <c r="H56" s="71" t="n"/>
      <c r="I56" s="73" t="n"/>
      <c r="J56" s="74">
        <f t="array" ref="J56">IFERROR(XLOOKUP(I56,'Pricing Reference'!$B$5:$B$12,'Pricing Reference'!$D$5:$D$12),"")</f>
        <v/>
      </c>
      <c r="K56" s="74">
        <f t="array" ref="K56">IFERROR(XLOOKUP(I56,'Pricing Reference'!$B$5:$B$12,'Pricing Reference'!$E$5:$E$12),"")</f>
        <v/>
      </c>
      <c r="L56" s="69" t="n"/>
      <c r="M56" s="75" t="n"/>
      <c r="N56" s="68">
        <f>IF(OR(G56="",I56=""),"",((G56*J56)+(H56*K56))/1000000)</f>
        <v/>
      </c>
      <c r="O56" s="68">
        <f>IF(N56="","",N56*(1+L56)*M56)</f>
        <v/>
      </c>
      <c r="P56" s="68">
        <f>IF(OR(D56="",O56=""),"",D56*O56)</f>
        <v/>
      </c>
      <c r="Q56" s="76">
        <f>IF(OR(P56="",F56=""),"",P56*F56)</f>
        <v/>
      </c>
      <c r="R56" s="68" t="n"/>
      <c r="S56" s="69">
        <f>IF(R56="","",IF(O56=0,"",R56/O56-1))</f>
        <v/>
      </c>
      <c r="T56" s="70" t="n"/>
      <c r="U56" s="70" t="n"/>
      <c r="V56" s="70">
        <f>IF(A56="","",TEXTJOIN("; ",TRUE,IF(B56="","Missing operating area",""),IF(E56="","Missing cadence",""),IF(I56="","Missing model",""),IF(D56="","Missing volume",""),IF(G56="","Missing input tokens",""),IF(M56="","Missing QA multiplier",""),IF(T56="","Missing assumption notes","")))</f>
        <v/>
      </c>
      <c r="W56" s="3" t="n"/>
      <c r="X56" s="3" t="n"/>
      <c r="Y56" s="3" t="n"/>
      <c r="Z56" s="3" t="n"/>
    </row>
    <row r="57" ht="37.5" customHeight="1" s="88">
      <c r="A57" s="77" t="n"/>
      <c r="B57" s="77" t="n"/>
      <c r="C57" s="77" t="n"/>
      <c r="D57" s="78" t="n"/>
      <c r="E57" s="79" t="n"/>
      <c r="F57" s="78">
        <f t="array" ref="F57">IFERROR(XLOOKUP(E57,'Cadence Reference'!$A$5:$A$12,'Cadence Reference'!$B$5:$B$12),"")</f>
        <v/>
      </c>
      <c r="G57" s="78" t="n"/>
      <c r="H57" s="78" t="n"/>
      <c r="I57" s="80" t="n"/>
      <c r="J57" s="81">
        <f t="array" ref="J57">IFERROR(XLOOKUP(I57,'Pricing Reference'!$B$5:$B$12,'Pricing Reference'!$D$5:$D$12),"")</f>
        <v/>
      </c>
      <c r="K57" s="81">
        <f t="array" ref="K57">IFERROR(XLOOKUP(I57,'Pricing Reference'!$B$5:$B$12,'Pricing Reference'!$E$5:$E$12),"")</f>
        <v/>
      </c>
      <c r="L57" s="60" t="n"/>
      <c r="M57" s="82" t="n"/>
      <c r="N57" s="59">
        <f>IF(OR(G57="",I57=""),"",((G57*J57)+(H57*K57))/1000000)</f>
        <v/>
      </c>
      <c r="O57" s="59">
        <f>IF(N57="","",N57*(1+L57)*M57)</f>
        <v/>
      </c>
      <c r="P57" s="59">
        <f>IF(OR(D57="",O57=""),"",D57*O57)</f>
        <v/>
      </c>
      <c r="Q57" s="83">
        <f>IF(OR(P57="",F57=""),"",P57*F57)</f>
        <v/>
      </c>
      <c r="R57" s="59" t="n"/>
      <c r="S57" s="60">
        <f>IF(R57="","",IF(O57=0,"",R57/O57-1))</f>
        <v/>
      </c>
      <c r="T57" s="77" t="n"/>
      <c r="U57" s="77" t="n"/>
      <c r="V57" s="77">
        <f>IF(A57="","",TEXTJOIN("; ",TRUE,IF(B57="","Missing operating area",""),IF(E57="","Missing cadence",""),IF(I57="","Missing model",""),IF(D57="","Missing volume",""),IF(G57="","Missing input tokens",""),IF(M57="","Missing QA multiplier",""),IF(T57="","Missing assumption notes","")))</f>
        <v/>
      </c>
      <c r="W57" s="3" t="n"/>
      <c r="X57" s="3" t="n"/>
      <c r="Y57" s="3" t="n"/>
      <c r="Z57" s="3" t="n"/>
    </row>
    <row r="58" ht="37.5" customHeight="1" s="88">
      <c r="A58" s="70" t="n"/>
      <c r="B58" s="70" t="n"/>
      <c r="C58" s="70" t="n"/>
      <c r="D58" s="71" t="n"/>
      <c r="E58" s="72" t="n"/>
      <c r="F58" s="71">
        <f t="array" ref="F58">IFERROR(XLOOKUP(E58,'Cadence Reference'!$A$5:$A$12,'Cadence Reference'!$B$5:$B$12),"")</f>
        <v/>
      </c>
      <c r="G58" s="71" t="n"/>
      <c r="H58" s="71" t="n"/>
      <c r="I58" s="73" t="n"/>
      <c r="J58" s="74">
        <f t="array" ref="J58">IFERROR(XLOOKUP(I58,'Pricing Reference'!$B$5:$B$12,'Pricing Reference'!$D$5:$D$12),"")</f>
        <v/>
      </c>
      <c r="K58" s="74">
        <f t="array" ref="K58">IFERROR(XLOOKUP(I58,'Pricing Reference'!$B$5:$B$12,'Pricing Reference'!$E$5:$E$12),"")</f>
        <v/>
      </c>
      <c r="L58" s="69" t="n"/>
      <c r="M58" s="75" t="n"/>
      <c r="N58" s="68">
        <f>IF(OR(G58="",I58=""),"",((G58*J58)+(H58*K58))/1000000)</f>
        <v/>
      </c>
      <c r="O58" s="68">
        <f>IF(N58="","",N58*(1+L58)*M58)</f>
        <v/>
      </c>
      <c r="P58" s="68">
        <f>IF(OR(D58="",O58=""),"",D58*O58)</f>
        <v/>
      </c>
      <c r="Q58" s="76">
        <f>IF(OR(P58="",F58=""),"",P58*F58)</f>
        <v/>
      </c>
      <c r="R58" s="68" t="n"/>
      <c r="S58" s="69">
        <f>IF(R58="","",IF(O58=0,"",R58/O58-1))</f>
        <v/>
      </c>
      <c r="T58" s="70" t="n"/>
      <c r="U58" s="70" t="n"/>
      <c r="V58" s="70">
        <f>IF(A58="","",TEXTJOIN("; ",TRUE,IF(B58="","Missing operating area",""),IF(E58="","Missing cadence",""),IF(I58="","Missing model",""),IF(D58="","Missing volume",""),IF(G58="","Missing input tokens",""),IF(M58="","Missing QA multiplier",""),IF(T58="","Missing assumption notes","")))</f>
        <v/>
      </c>
      <c r="W58" s="3" t="n"/>
      <c r="X58" s="3" t="n"/>
      <c r="Y58" s="3" t="n"/>
      <c r="Z58" s="3" t="n"/>
    </row>
    <row r="59" ht="37.5" customHeight="1" s="88">
      <c r="A59" s="77" t="n"/>
      <c r="B59" s="77" t="n"/>
      <c r="C59" s="77" t="n"/>
      <c r="D59" s="78" t="n"/>
      <c r="E59" s="79" t="n"/>
      <c r="F59" s="78">
        <f t="array" ref="F59">IFERROR(XLOOKUP(E59,'Cadence Reference'!$A$5:$A$12,'Cadence Reference'!$B$5:$B$12),"")</f>
        <v/>
      </c>
      <c r="G59" s="78" t="n"/>
      <c r="H59" s="78" t="n"/>
      <c r="I59" s="80" t="n"/>
      <c r="J59" s="81">
        <f t="array" ref="J59">IFERROR(XLOOKUP(I59,'Pricing Reference'!$B$5:$B$12,'Pricing Reference'!$D$5:$D$12),"")</f>
        <v/>
      </c>
      <c r="K59" s="81">
        <f t="array" ref="K59">IFERROR(XLOOKUP(I59,'Pricing Reference'!$B$5:$B$12,'Pricing Reference'!$E$5:$E$12),"")</f>
        <v/>
      </c>
      <c r="L59" s="60" t="n"/>
      <c r="M59" s="82" t="n"/>
      <c r="N59" s="59">
        <f>IF(OR(G59="",I59=""),"",((G59*J59)+(H59*K59))/1000000)</f>
        <v/>
      </c>
      <c r="O59" s="59">
        <f>IF(N59="","",N59*(1+L59)*M59)</f>
        <v/>
      </c>
      <c r="P59" s="59">
        <f>IF(OR(D59="",O59=""),"",D59*O59)</f>
        <v/>
      </c>
      <c r="Q59" s="83">
        <f>IF(OR(P59="",F59=""),"",P59*F59)</f>
        <v/>
      </c>
      <c r="R59" s="59" t="n"/>
      <c r="S59" s="60">
        <f>IF(R59="","",IF(O59=0,"",R59/O59-1))</f>
        <v/>
      </c>
      <c r="T59" s="77" t="n"/>
      <c r="U59" s="77" t="n"/>
      <c r="V59" s="77">
        <f>IF(A59="","",TEXTJOIN("; ",TRUE,IF(B59="","Missing operating area",""),IF(E59="","Missing cadence",""),IF(I59="","Missing model",""),IF(D59="","Missing volume",""),IF(G59="","Missing input tokens",""),IF(M59="","Missing QA multiplier",""),IF(T59="","Missing assumption notes","")))</f>
        <v/>
      </c>
      <c r="W59" s="3" t="n"/>
      <c r="X59" s="3" t="n"/>
      <c r="Y59" s="3" t="n"/>
      <c r="Z59" s="3" t="n"/>
    </row>
    <row r="60" ht="37.5" customHeight="1" s="88">
      <c r="A60" s="70" t="n"/>
      <c r="B60" s="70" t="n"/>
      <c r="C60" s="70" t="n"/>
      <c r="D60" s="71" t="n"/>
      <c r="E60" s="72" t="n"/>
      <c r="F60" s="71">
        <f t="array" ref="F60">IFERROR(XLOOKUP(E60,'Cadence Reference'!$A$5:$A$12,'Cadence Reference'!$B$5:$B$12),"")</f>
        <v/>
      </c>
      <c r="G60" s="71" t="n"/>
      <c r="H60" s="71" t="n"/>
      <c r="I60" s="73" t="n"/>
      <c r="J60" s="74">
        <f t="array" ref="J60">IFERROR(XLOOKUP(I60,'Pricing Reference'!$B$5:$B$12,'Pricing Reference'!$D$5:$D$12),"")</f>
        <v/>
      </c>
      <c r="K60" s="74">
        <f t="array" ref="K60">IFERROR(XLOOKUP(I60,'Pricing Reference'!$B$5:$B$12,'Pricing Reference'!$E$5:$E$12),"")</f>
        <v/>
      </c>
      <c r="L60" s="69" t="n"/>
      <c r="M60" s="75" t="n"/>
      <c r="N60" s="68">
        <f>IF(OR(G60="",I60=""),"",((G60*J60)+(H60*K60))/1000000)</f>
        <v/>
      </c>
      <c r="O60" s="68">
        <f>IF(N60="","",N60*(1+L60)*M60)</f>
        <v/>
      </c>
      <c r="P60" s="68">
        <f>IF(OR(D60="",O60=""),"",D60*O60)</f>
        <v/>
      </c>
      <c r="Q60" s="76">
        <f>IF(OR(P60="",F60=""),"",P60*F60)</f>
        <v/>
      </c>
      <c r="R60" s="68" t="n"/>
      <c r="S60" s="69">
        <f>IF(R60="","",IF(O60=0,"",R60/O60-1))</f>
        <v/>
      </c>
      <c r="T60" s="70" t="n"/>
      <c r="U60" s="70" t="n"/>
      <c r="V60" s="70">
        <f>IF(A60="","",TEXTJOIN("; ",TRUE,IF(B60="","Missing operating area",""),IF(E60="","Missing cadence",""),IF(I60="","Missing model",""),IF(D60="","Missing volume",""),IF(G60="","Missing input tokens",""),IF(M60="","Missing QA multiplier",""),IF(T60="","Missing assumption notes","")))</f>
        <v/>
      </c>
      <c r="W60" s="3" t="n"/>
      <c r="X60" s="3" t="n"/>
      <c r="Y60" s="3" t="n"/>
      <c r="Z60" s="3" t="n"/>
    </row>
    <row r="61" ht="37.5" customHeight="1" s="88">
      <c r="A61" s="77" t="n"/>
      <c r="B61" s="77" t="n"/>
      <c r="C61" s="77" t="n"/>
      <c r="D61" s="78" t="n"/>
      <c r="E61" s="79" t="n"/>
      <c r="F61" s="78">
        <f t="array" ref="F61">IFERROR(XLOOKUP(E61,'Cadence Reference'!$A$5:$A$12,'Cadence Reference'!$B$5:$B$12),"")</f>
        <v/>
      </c>
      <c r="G61" s="78" t="n"/>
      <c r="H61" s="78" t="n"/>
      <c r="I61" s="80" t="n"/>
      <c r="J61" s="81">
        <f t="array" ref="J61">IFERROR(XLOOKUP(I61,'Pricing Reference'!$B$5:$B$12,'Pricing Reference'!$D$5:$D$12),"")</f>
        <v/>
      </c>
      <c r="K61" s="81">
        <f t="array" ref="K61">IFERROR(XLOOKUP(I61,'Pricing Reference'!$B$5:$B$12,'Pricing Reference'!$E$5:$E$12),"")</f>
        <v/>
      </c>
      <c r="L61" s="60" t="n"/>
      <c r="M61" s="82" t="n"/>
      <c r="N61" s="59">
        <f>IF(OR(G61="",I61=""),"",((G61*J61)+(H61*K61))/1000000)</f>
        <v/>
      </c>
      <c r="O61" s="59">
        <f>IF(N61="","",N61*(1+L61)*M61)</f>
        <v/>
      </c>
      <c r="P61" s="59">
        <f>IF(OR(D61="",O61=""),"",D61*O61)</f>
        <v/>
      </c>
      <c r="Q61" s="83">
        <f>IF(OR(P61="",F61=""),"",P61*F61)</f>
        <v/>
      </c>
      <c r="R61" s="59" t="n"/>
      <c r="S61" s="60">
        <f>IF(R61="","",IF(O61=0,"",R61/O61-1))</f>
        <v/>
      </c>
      <c r="T61" s="77" t="n"/>
      <c r="U61" s="77" t="n"/>
      <c r="V61" s="77">
        <f>IF(A61="","",TEXTJOIN("; ",TRUE,IF(B61="","Missing operating area",""),IF(E61="","Missing cadence",""),IF(I61="","Missing model",""),IF(D61="","Missing volume",""),IF(G61="","Missing input tokens",""),IF(M61="","Missing QA multiplier",""),IF(T61="","Missing assumption notes","")))</f>
        <v/>
      </c>
      <c r="W61" s="3" t="n"/>
      <c r="X61" s="3" t="n"/>
      <c r="Y61" s="3" t="n"/>
      <c r="Z61" s="3" t="n"/>
    </row>
    <row r="62" ht="37.5" customHeight="1" s="88">
      <c r="A62" s="70" t="n"/>
      <c r="B62" s="70" t="n"/>
      <c r="C62" s="70" t="n"/>
      <c r="D62" s="71" t="n"/>
      <c r="E62" s="72" t="n"/>
      <c r="F62" s="71">
        <f t="array" ref="F62">IFERROR(XLOOKUP(E62,'Cadence Reference'!$A$5:$A$12,'Cadence Reference'!$B$5:$B$12),"")</f>
        <v/>
      </c>
      <c r="G62" s="71" t="n"/>
      <c r="H62" s="71" t="n"/>
      <c r="I62" s="73" t="n"/>
      <c r="J62" s="74">
        <f t="array" ref="J62">IFERROR(XLOOKUP(I62,'Pricing Reference'!$B$5:$B$12,'Pricing Reference'!$D$5:$D$12),"")</f>
        <v/>
      </c>
      <c r="K62" s="74">
        <f t="array" ref="K62">IFERROR(XLOOKUP(I62,'Pricing Reference'!$B$5:$B$12,'Pricing Reference'!$E$5:$E$12),"")</f>
        <v/>
      </c>
      <c r="L62" s="69" t="n"/>
      <c r="M62" s="75" t="n"/>
      <c r="N62" s="68">
        <f>IF(OR(G62="",I62=""),"",((G62*J62)+(H62*K62))/1000000)</f>
        <v/>
      </c>
      <c r="O62" s="68">
        <f>IF(N62="","",N62*(1+L62)*M62)</f>
        <v/>
      </c>
      <c r="P62" s="68">
        <f>IF(OR(D62="",O62=""),"",D62*O62)</f>
        <v/>
      </c>
      <c r="Q62" s="76">
        <f>IF(OR(P62="",F62=""),"",P62*F62)</f>
        <v/>
      </c>
      <c r="R62" s="68" t="n"/>
      <c r="S62" s="69">
        <f>IF(R62="","",IF(O62=0,"",R62/O62-1))</f>
        <v/>
      </c>
      <c r="T62" s="70" t="n"/>
      <c r="U62" s="70" t="n"/>
      <c r="V62" s="70">
        <f>IF(A62="","",TEXTJOIN("; ",TRUE,IF(B62="","Missing operating area",""),IF(E62="","Missing cadence",""),IF(I62="","Missing model",""),IF(D62="","Missing volume",""),IF(G62="","Missing input tokens",""),IF(M62="","Missing QA multiplier",""),IF(T62="","Missing assumption notes","")))</f>
        <v/>
      </c>
      <c r="W62" s="3" t="n"/>
      <c r="X62" s="3" t="n"/>
      <c r="Y62" s="3" t="n"/>
      <c r="Z62" s="3" t="n"/>
    </row>
    <row r="63" ht="37.5" customHeight="1" s="88">
      <c r="A63" s="3" t="n"/>
      <c r="B63" s="3" t="n"/>
      <c r="C63" s="3" t="n"/>
      <c r="D63" s="84" t="n"/>
      <c r="E63" s="84" t="n"/>
      <c r="F63" s="84" t="n"/>
      <c r="G63" s="3" t="n"/>
      <c r="H63" s="85" t="n"/>
      <c r="I63" s="85" t="n"/>
      <c r="J63" s="86" t="n"/>
      <c r="K63" s="87" t="n"/>
      <c r="L63" s="85" t="n"/>
      <c r="M63" s="85" t="n"/>
      <c r="N63" s="85" t="n"/>
      <c r="O63" s="3" t="n"/>
      <c r="P63" s="3" t="n"/>
      <c r="Q63" s="3" t="n"/>
      <c r="R63" s="3" t="n"/>
      <c r="S63" s="3" t="n"/>
      <c r="T63" s="3" t="n"/>
      <c r="U63" s="3" t="n"/>
      <c r="V63" s="3" t="n"/>
      <c r="W63" s="3" t="n"/>
      <c r="X63" s="3" t="n"/>
      <c r="Y63" s="3" t="n"/>
      <c r="Z63" s="3" t="n"/>
    </row>
    <row r="64" ht="37.5" customHeight="1" s="88">
      <c r="A64" s="3" t="n"/>
      <c r="B64" s="3" t="n"/>
      <c r="C64" s="3" t="n"/>
      <c r="D64" s="84" t="n"/>
      <c r="E64" s="84" t="n"/>
      <c r="F64" s="84" t="n"/>
      <c r="G64" s="3" t="n"/>
      <c r="H64" s="85" t="n"/>
      <c r="I64" s="85" t="n"/>
      <c r="J64" s="86" t="n"/>
      <c r="K64" s="87" t="n"/>
      <c r="L64" s="85" t="n"/>
      <c r="M64" s="85" t="n"/>
      <c r="N64" s="85" t="n"/>
      <c r="O64" s="3" t="n"/>
      <c r="P64" s="3" t="n"/>
      <c r="Q64" s="3" t="n"/>
      <c r="R64" s="3" t="n"/>
      <c r="S64" s="3" t="n"/>
      <c r="T64" s="3" t="n"/>
      <c r="U64" s="3" t="n"/>
      <c r="V64" s="3" t="n"/>
      <c r="W64" s="3" t="n"/>
      <c r="X64" s="3" t="n"/>
      <c r="Y64" s="3" t="n"/>
      <c r="Z64" s="3" t="n"/>
    </row>
    <row r="65" ht="37.5" customHeight="1" s="88">
      <c r="A65" s="3" t="n"/>
      <c r="B65" s="3" t="n"/>
      <c r="C65" s="3" t="n"/>
      <c r="D65" s="84" t="n"/>
      <c r="E65" s="84" t="n"/>
      <c r="F65" s="84" t="n"/>
      <c r="G65" s="3" t="n"/>
      <c r="H65" s="85" t="n"/>
      <c r="I65" s="85" t="n"/>
      <c r="J65" s="86" t="n"/>
      <c r="K65" s="87" t="n"/>
      <c r="L65" s="85" t="n"/>
      <c r="M65" s="85" t="n"/>
      <c r="N65" s="85" t="n"/>
      <c r="O65" s="3" t="n"/>
      <c r="P65" s="3" t="n"/>
      <c r="Q65" s="3" t="n"/>
      <c r="R65" s="3" t="n"/>
      <c r="S65" s="3" t="n"/>
      <c r="T65" s="3" t="n"/>
      <c r="U65" s="3" t="n"/>
      <c r="V65" s="3" t="n"/>
      <c r="W65" s="3" t="n"/>
      <c r="X65" s="3" t="n"/>
      <c r="Y65" s="3" t="n"/>
      <c r="Z65" s="3" t="n"/>
    </row>
    <row r="66" ht="37.5" customHeight="1" s="88">
      <c r="A66" s="3" t="n"/>
      <c r="B66" s="3" t="n"/>
      <c r="C66" s="3" t="n"/>
      <c r="D66" s="84" t="n"/>
      <c r="E66" s="84" t="n"/>
      <c r="F66" s="84" t="n"/>
      <c r="G66" s="3" t="n"/>
      <c r="H66" s="85" t="n"/>
      <c r="I66" s="85" t="n"/>
      <c r="J66" s="86" t="n"/>
      <c r="K66" s="87" t="n"/>
      <c r="L66" s="85" t="n"/>
      <c r="M66" s="85" t="n"/>
      <c r="N66" s="85" t="n"/>
      <c r="O66" s="3" t="n"/>
      <c r="P66" s="3" t="n"/>
      <c r="Q66" s="3" t="n"/>
      <c r="R66" s="3" t="n"/>
      <c r="S66" s="3" t="n"/>
      <c r="T66" s="3" t="n"/>
      <c r="U66" s="3" t="n"/>
      <c r="V66" s="3" t="n"/>
      <c r="W66" s="3" t="n"/>
      <c r="X66" s="3" t="n"/>
      <c r="Y66" s="3" t="n"/>
      <c r="Z66" s="3" t="n"/>
    </row>
    <row r="67" ht="37.5" customHeight="1" s="88">
      <c r="A67" s="3" t="n"/>
      <c r="B67" s="3" t="n"/>
      <c r="C67" s="3" t="n"/>
      <c r="D67" s="84" t="n"/>
      <c r="E67" s="84" t="n"/>
      <c r="F67" s="84" t="n"/>
      <c r="G67" s="3" t="n"/>
      <c r="H67" s="85" t="n"/>
      <c r="I67" s="85" t="n"/>
      <c r="J67" s="86" t="n"/>
      <c r="K67" s="87" t="n"/>
      <c r="L67" s="85" t="n"/>
      <c r="M67" s="85" t="n"/>
      <c r="N67" s="85" t="n"/>
      <c r="O67" s="3" t="n"/>
      <c r="P67" s="3" t="n"/>
      <c r="Q67" s="3" t="n"/>
      <c r="R67" s="3" t="n"/>
      <c r="S67" s="3" t="n"/>
      <c r="T67" s="3" t="n"/>
      <c r="U67" s="3" t="n"/>
      <c r="V67" s="3" t="n"/>
      <c r="W67" s="3" t="n"/>
      <c r="X67" s="3" t="n"/>
      <c r="Y67" s="3" t="n"/>
      <c r="Z67" s="3" t="n"/>
    </row>
    <row r="68" ht="37.5" customHeight="1" s="88">
      <c r="A68" s="3" t="n"/>
      <c r="B68" s="3" t="n"/>
      <c r="C68" s="3" t="n"/>
      <c r="D68" s="84" t="n"/>
      <c r="E68" s="84" t="n"/>
      <c r="F68" s="84" t="n"/>
      <c r="G68" s="3" t="n"/>
      <c r="H68" s="85" t="n"/>
      <c r="I68" s="85" t="n"/>
      <c r="J68" s="86" t="n"/>
      <c r="K68" s="87" t="n"/>
      <c r="L68" s="85" t="n"/>
      <c r="M68" s="85" t="n"/>
      <c r="N68" s="85" t="n"/>
      <c r="O68" s="3" t="n"/>
      <c r="P68" s="3" t="n"/>
      <c r="Q68" s="3" t="n"/>
      <c r="R68" s="3" t="n"/>
      <c r="S68" s="3" t="n"/>
      <c r="T68" s="3" t="n"/>
      <c r="U68" s="3" t="n"/>
      <c r="V68" s="3" t="n"/>
      <c r="W68" s="3" t="n"/>
      <c r="X68" s="3" t="n"/>
      <c r="Y68" s="3" t="n"/>
      <c r="Z68" s="3" t="n"/>
    </row>
    <row r="69" ht="37.5" customHeight="1" s="88">
      <c r="A69" s="3" t="n"/>
      <c r="B69" s="3" t="n"/>
      <c r="C69" s="3" t="n"/>
      <c r="D69" s="84" t="n"/>
      <c r="E69" s="84" t="n"/>
      <c r="F69" s="84" t="n"/>
      <c r="G69" s="3" t="n"/>
      <c r="H69" s="85" t="n"/>
      <c r="I69" s="85" t="n"/>
      <c r="J69" s="86" t="n"/>
      <c r="K69" s="87" t="n"/>
      <c r="L69" s="85" t="n"/>
      <c r="M69" s="85" t="n"/>
      <c r="N69" s="85" t="n"/>
      <c r="O69" s="3" t="n"/>
      <c r="P69" s="3" t="n"/>
      <c r="Q69" s="3" t="n"/>
      <c r="R69" s="3" t="n"/>
      <c r="S69" s="3" t="n"/>
      <c r="T69" s="3" t="n"/>
      <c r="U69" s="3" t="n"/>
      <c r="V69" s="3" t="n"/>
      <c r="W69" s="3" t="n"/>
      <c r="X69" s="3" t="n"/>
      <c r="Y69" s="3" t="n"/>
      <c r="Z69" s="3" t="n"/>
    </row>
    <row r="70" ht="37.5" customHeight="1" s="88">
      <c r="A70" s="3" t="n"/>
      <c r="B70" s="3" t="n"/>
      <c r="C70" s="3" t="n"/>
      <c r="D70" s="84" t="n"/>
      <c r="E70" s="84" t="n"/>
      <c r="F70" s="84" t="n"/>
      <c r="G70" s="3" t="n"/>
      <c r="H70" s="85" t="n"/>
      <c r="I70" s="85" t="n"/>
      <c r="J70" s="86" t="n"/>
      <c r="K70" s="87" t="n"/>
      <c r="L70" s="85" t="n"/>
      <c r="M70" s="85" t="n"/>
      <c r="N70" s="85" t="n"/>
      <c r="O70" s="3" t="n"/>
      <c r="P70" s="3" t="n"/>
      <c r="Q70" s="3" t="n"/>
      <c r="R70" s="3" t="n"/>
      <c r="S70" s="3" t="n"/>
      <c r="T70" s="3" t="n"/>
      <c r="U70" s="3" t="n"/>
      <c r="V70" s="3" t="n"/>
      <c r="W70" s="3" t="n"/>
      <c r="X70" s="3" t="n"/>
      <c r="Y70" s="3" t="n"/>
      <c r="Z70" s="3" t="n"/>
    </row>
    <row r="71" ht="37.5" customHeight="1" s="88">
      <c r="A71" s="3" t="n"/>
      <c r="B71" s="3" t="n"/>
      <c r="C71" s="3" t="n"/>
      <c r="D71" s="84" t="n"/>
      <c r="E71" s="84" t="n"/>
      <c r="F71" s="84" t="n"/>
      <c r="G71" s="3" t="n"/>
      <c r="H71" s="85" t="n"/>
      <c r="I71" s="85" t="n"/>
      <c r="J71" s="86" t="n"/>
      <c r="K71" s="87" t="n"/>
      <c r="L71" s="85" t="n"/>
      <c r="M71" s="85" t="n"/>
      <c r="N71" s="85" t="n"/>
      <c r="O71" s="3" t="n"/>
      <c r="P71" s="3" t="n"/>
      <c r="Q71" s="3" t="n"/>
      <c r="R71" s="3" t="n"/>
      <c r="S71" s="3" t="n"/>
      <c r="T71" s="3" t="n"/>
      <c r="U71" s="3" t="n"/>
      <c r="V71" s="3" t="n"/>
      <c r="W71" s="3" t="n"/>
      <c r="X71" s="3" t="n"/>
      <c r="Y71" s="3" t="n"/>
      <c r="Z71" s="3" t="n"/>
    </row>
    <row r="72" ht="37.5" customHeight="1" s="88">
      <c r="A72" s="3" t="n"/>
      <c r="B72" s="3" t="n"/>
      <c r="C72" s="3" t="n"/>
      <c r="D72" s="84" t="n"/>
      <c r="E72" s="84" t="n"/>
      <c r="F72" s="84" t="n"/>
      <c r="G72" s="3" t="n"/>
      <c r="H72" s="85" t="n"/>
      <c r="I72" s="85" t="n"/>
      <c r="J72" s="86" t="n"/>
      <c r="K72" s="87" t="n"/>
      <c r="L72" s="85" t="n"/>
      <c r="M72" s="85" t="n"/>
      <c r="N72" s="85" t="n"/>
      <c r="O72" s="3" t="n"/>
      <c r="P72" s="3" t="n"/>
      <c r="Q72" s="3" t="n"/>
      <c r="R72" s="3" t="n"/>
      <c r="S72" s="3" t="n"/>
      <c r="T72" s="3" t="n"/>
      <c r="U72" s="3" t="n"/>
      <c r="V72" s="3" t="n"/>
      <c r="W72" s="3" t="n"/>
      <c r="X72" s="3" t="n"/>
      <c r="Y72" s="3" t="n"/>
      <c r="Z72" s="3" t="n"/>
    </row>
    <row r="73" ht="37.5" customHeight="1" s="88">
      <c r="A73" s="3" t="n"/>
      <c r="B73" s="3" t="n"/>
      <c r="C73" s="3" t="n"/>
      <c r="D73" s="84" t="n"/>
      <c r="E73" s="84" t="n"/>
      <c r="F73" s="84" t="n"/>
      <c r="G73" s="3" t="n"/>
      <c r="H73" s="85" t="n"/>
      <c r="I73" s="85" t="n"/>
      <c r="J73" s="86" t="n"/>
      <c r="K73" s="87" t="n"/>
      <c r="L73" s="85" t="n"/>
      <c r="M73" s="85" t="n"/>
      <c r="N73" s="85" t="n"/>
      <c r="O73" s="3" t="n"/>
      <c r="P73" s="3" t="n"/>
      <c r="Q73" s="3" t="n"/>
      <c r="R73" s="3" t="n"/>
      <c r="S73" s="3" t="n"/>
      <c r="T73" s="3" t="n"/>
      <c r="U73" s="3" t="n"/>
      <c r="V73" s="3" t="n"/>
      <c r="W73" s="3" t="n"/>
      <c r="X73" s="3" t="n"/>
      <c r="Y73" s="3" t="n"/>
      <c r="Z73" s="3" t="n"/>
    </row>
    <row r="74" ht="37.5" customHeight="1" s="88">
      <c r="A74" s="3" t="n"/>
      <c r="B74" s="3" t="n"/>
      <c r="C74" s="3" t="n"/>
      <c r="D74" s="84" t="n"/>
      <c r="E74" s="84" t="n"/>
      <c r="F74" s="84" t="n"/>
      <c r="G74" s="3" t="n"/>
      <c r="H74" s="85" t="n"/>
      <c r="I74" s="85" t="n"/>
      <c r="J74" s="86" t="n"/>
      <c r="K74" s="87" t="n"/>
      <c r="L74" s="85" t="n"/>
      <c r="M74" s="85" t="n"/>
      <c r="N74" s="85" t="n"/>
      <c r="O74" s="3" t="n"/>
      <c r="P74" s="3" t="n"/>
      <c r="Q74" s="3" t="n"/>
      <c r="R74" s="3" t="n"/>
      <c r="S74" s="3" t="n"/>
      <c r="T74" s="3" t="n"/>
      <c r="U74" s="3" t="n"/>
      <c r="V74" s="3" t="n"/>
      <c r="W74" s="3" t="n"/>
      <c r="X74" s="3" t="n"/>
      <c r="Y74" s="3" t="n"/>
      <c r="Z74" s="3" t="n"/>
    </row>
    <row r="75" ht="37.5" customHeight="1" s="88">
      <c r="A75" s="3" t="n"/>
      <c r="B75" s="3" t="n"/>
      <c r="C75" s="3" t="n"/>
      <c r="D75" s="84" t="n"/>
      <c r="E75" s="84" t="n"/>
      <c r="F75" s="84" t="n"/>
      <c r="G75" s="3" t="n"/>
      <c r="H75" s="85" t="n"/>
      <c r="I75" s="85" t="n"/>
      <c r="J75" s="86" t="n"/>
      <c r="K75" s="87" t="n"/>
      <c r="L75" s="85" t="n"/>
      <c r="M75" s="85" t="n"/>
      <c r="N75" s="85" t="n"/>
      <c r="O75" s="3" t="n"/>
      <c r="P75" s="3" t="n"/>
      <c r="Q75" s="3" t="n"/>
      <c r="R75" s="3" t="n"/>
      <c r="S75" s="3" t="n"/>
      <c r="T75" s="3" t="n"/>
      <c r="U75" s="3" t="n"/>
      <c r="V75" s="3" t="n"/>
      <c r="W75" s="3" t="n"/>
      <c r="X75" s="3" t="n"/>
      <c r="Y75" s="3" t="n"/>
      <c r="Z75" s="3" t="n"/>
    </row>
    <row r="76" ht="37.5" customHeight="1" s="88">
      <c r="A76" s="3" t="n"/>
      <c r="B76" s="3" t="n"/>
      <c r="C76" s="3" t="n"/>
      <c r="D76" s="84" t="n"/>
      <c r="E76" s="84" t="n"/>
      <c r="F76" s="84" t="n"/>
      <c r="G76" s="3" t="n"/>
      <c r="H76" s="85" t="n"/>
      <c r="I76" s="85" t="n"/>
      <c r="J76" s="86" t="n"/>
      <c r="K76" s="87" t="n"/>
      <c r="L76" s="85" t="n"/>
      <c r="M76" s="85" t="n"/>
      <c r="N76" s="85" t="n"/>
      <c r="O76" s="3" t="n"/>
      <c r="P76" s="3" t="n"/>
      <c r="Q76" s="3" t="n"/>
      <c r="R76" s="3" t="n"/>
      <c r="S76" s="3" t="n"/>
      <c r="T76" s="3" t="n"/>
      <c r="U76" s="3" t="n"/>
      <c r="V76" s="3" t="n"/>
      <c r="W76" s="3" t="n"/>
      <c r="X76" s="3" t="n"/>
      <c r="Y76" s="3" t="n"/>
      <c r="Z76" s="3" t="n"/>
    </row>
    <row r="77" ht="37.5" customHeight="1" s="88">
      <c r="A77" s="3" t="n"/>
      <c r="B77" s="3" t="n"/>
      <c r="C77" s="3" t="n"/>
      <c r="D77" s="84" t="n"/>
      <c r="E77" s="84" t="n"/>
      <c r="F77" s="84" t="n"/>
      <c r="G77" s="3" t="n"/>
      <c r="H77" s="85" t="n"/>
      <c r="I77" s="85" t="n"/>
      <c r="J77" s="86" t="n"/>
      <c r="K77" s="87" t="n"/>
      <c r="L77" s="85" t="n"/>
      <c r="M77" s="85" t="n"/>
      <c r="N77" s="85" t="n"/>
      <c r="O77" s="3" t="n"/>
      <c r="P77" s="3" t="n"/>
      <c r="Q77" s="3" t="n"/>
      <c r="R77" s="3" t="n"/>
      <c r="S77" s="3" t="n"/>
      <c r="T77" s="3" t="n"/>
      <c r="U77" s="3" t="n"/>
      <c r="V77" s="3" t="n"/>
      <c r="W77" s="3" t="n"/>
      <c r="X77" s="3" t="n"/>
      <c r="Y77" s="3" t="n"/>
      <c r="Z77" s="3" t="n"/>
    </row>
    <row r="78" ht="37.5" customHeight="1" s="88">
      <c r="A78" s="3" t="n"/>
      <c r="B78" s="3" t="n"/>
      <c r="C78" s="3" t="n"/>
      <c r="D78" s="84" t="n"/>
      <c r="E78" s="84" t="n"/>
      <c r="F78" s="84" t="n"/>
      <c r="G78" s="3" t="n"/>
      <c r="H78" s="85" t="n"/>
      <c r="I78" s="85" t="n"/>
      <c r="J78" s="86" t="n"/>
      <c r="K78" s="87" t="n"/>
      <c r="L78" s="85" t="n"/>
      <c r="M78" s="85" t="n"/>
      <c r="N78" s="85" t="n"/>
      <c r="O78" s="3" t="n"/>
      <c r="P78" s="3" t="n"/>
      <c r="Q78" s="3" t="n"/>
      <c r="R78" s="3" t="n"/>
      <c r="S78" s="3" t="n"/>
      <c r="T78" s="3" t="n"/>
      <c r="U78" s="3" t="n"/>
      <c r="V78" s="3" t="n"/>
      <c r="W78" s="3" t="n"/>
      <c r="X78" s="3" t="n"/>
      <c r="Y78" s="3" t="n"/>
      <c r="Z78" s="3" t="n"/>
    </row>
    <row r="79" ht="37.5" customHeight="1" s="88">
      <c r="A79" s="3" t="n"/>
      <c r="B79" s="3" t="n"/>
      <c r="C79" s="3" t="n"/>
      <c r="D79" s="84" t="n"/>
      <c r="E79" s="84" t="n"/>
      <c r="F79" s="84" t="n"/>
      <c r="G79" s="3" t="n"/>
      <c r="H79" s="85" t="n"/>
      <c r="I79" s="85" t="n"/>
      <c r="J79" s="86" t="n"/>
      <c r="K79" s="87" t="n"/>
      <c r="L79" s="85" t="n"/>
      <c r="M79" s="85" t="n"/>
      <c r="N79" s="85" t="n"/>
      <c r="O79" s="3" t="n"/>
      <c r="P79" s="3" t="n"/>
      <c r="Q79" s="3" t="n"/>
      <c r="R79" s="3" t="n"/>
      <c r="S79" s="3" t="n"/>
      <c r="T79" s="3" t="n"/>
      <c r="U79" s="3" t="n"/>
      <c r="V79" s="3" t="n"/>
      <c r="W79" s="3" t="n"/>
      <c r="X79" s="3" t="n"/>
      <c r="Y79" s="3" t="n"/>
      <c r="Z79" s="3" t="n"/>
    </row>
    <row r="80" ht="37.5" customHeight="1" s="88">
      <c r="A80" s="3" t="n"/>
      <c r="B80" s="3" t="n"/>
      <c r="C80" s="3" t="n"/>
      <c r="D80" s="84" t="n"/>
      <c r="E80" s="84" t="n"/>
      <c r="F80" s="84" t="n"/>
      <c r="G80" s="3" t="n"/>
      <c r="H80" s="85" t="n"/>
      <c r="I80" s="85" t="n"/>
      <c r="J80" s="86" t="n"/>
      <c r="K80" s="87" t="n"/>
      <c r="L80" s="85" t="n"/>
      <c r="M80" s="85" t="n"/>
      <c r="N80" s="85" t="n"/>
      <c r="O80" s="3" t="n"/>
      <c r="P80" s="3" t="n"/>
      <c r="Q80" s="3" t="n"/>
      <c r="R80" s="3" t="n"/>
      <c r="S80" s="3" t="n"/>
      <c r="T80" s="3" t="n"/>
      <c r="U80" s="3" t="n"/>
      <c r="V80" s="3" t="n"/>
      <c r="W80" s="3" t="n"/>
      <c r="X80" s="3" t="n"/>
      <c r="Y80" s="3" t="n"/>
      <c r="Z80" s="3" t="n"/>
    </row>
    <row r="81" ht="37.5" customHeight="1" s="88">
      <c r="A81" s="3" t="n"/>
      <c r="B81" s="3" t="n"/>
      <c r="C81" s="3" t="n"/>
      <c r="D81" s="84" t="n"/>
      <c r="E81" s="84" t="n"/>
      <c r="F81" s="84" t="n"/>
      <c r="G81" s="3" t="n"/>
      <c r="H81" s="85" t="n"/>
      <c r="I81" s="85" t="n"/>
      <c r="J81" s="86" t="n"/>
      <c r="K81" s="87" t="n"/>
      <c r="L81" s="85" t="n"/>
      <c r="M81" s="85" t="n"/>
      <c r="N81" s="85" t="n"/>
      <c r="O81" s="3" t="n"/>
      <c r="P81" s="3" t="n"/>
      <c r="Q81" s="3" t="n"/>
      <c r="R81" s="3" t="n"/>
      <c r="S81" s="3" t="n"/>
      <c r="T81" s="3" t="n"/>
      <c r="U81" s="3" t="n"/>
      <c r="V81" s="3" t="n"/>
      <c r="W81" s="3" t="n"/>
      <c r="X81" s="3" t="n"/>
      <c r="Y81" s="3" t="n"/>
      <c r="Z81" s="3" t="n"/>
    </row>
    <row r="82" ht="37.5" customHeight="1" s="88">
      <c r="A82" s="3" t="n"/>
      <c r="B82" s="3" t="n"/>
      <c r="C82" s="3" t="n"/>
      <c r="D82" s="84" t="n"/>
      <c r="E82" s="84" t="n"/>
      <c r="F82" s="84" t="n"/>
      <c r="G82" s="3" t="n"/>
      <c r="H82" s="85" t="n"/>
      <c r="I82" s="85" t="n"/>
      <c r="J82" s="86" t="n"/>
      <c r="K82" s="87" t="n"/>
      <c r="L82" s="85" t="n"/>
      <c r="M82" s="85" t="n"/>
      <c r="N82" s="85" t="n"/>
      <c r="O82" s="3" t="n"/>
      <c r="P82" s="3" t="n"/>
      <c r="Q82" s="3" t="n"/>
      <c r="R82" s="3" t="n"/>
      <c r="S82" s="3" t="n"/>
      <c r="T82" s="3" t="n"/>
      <c r="U82" s="3" t="n"/>
      <c r="V82" s="3" t="n"/>
      <c r="W82" s="3" t="n"/>
      <c r="X82" s="3" t="n"/>
      <c r="Y82" s="3" t="n"/>
      <c r="Z82" s="3" t="n"/>
    </row>
    <row r="83" ht="37.5" customHeight="1" s="88">
      <c r="A83" s="3" t="n"/>
      <c r="B83" s="3" t="n"/>
      <c r="C83" s="3" t="n"/>
      <c r="D83" s="84" t="n"/>
      <c r="E83" s="84" t="n"/>
      <c r="F83" s="84" t="n"/>
      <c r="G83" s="3" t="n"/>
      <c r="H83" s="85" t="n"/>
      <c r="I83" s="85" t="n"/>
      <c r="J83" s="86" t="n"/>
      <c r="K83" s="87" t="n"/>
      <c r="L83" s="85" t="n"/>
      <c r="M83" s="85" t="n"/>
      <c r="N83" s="85" t="n"/>
      <c r="O83" s="3" t="n"/>
      <c r="P83" s="3" t="n"/>
      <c r="Q83" s="3" t="n"/>
      <c r="R83" s="3" t="n"/>
      <c r="S83" s="3" t="n"/>
      <c r="T83" s="3" t="n"/>
      <c r="U83" s="3" t="n"/>
      <c r="V83" s="3" t="n"/>
      <c r="W83" s="3" t="n"/>
      <c r="X83" s="3" t="n"/>
      <c r="Y83" s="3" t="n"/>
      <c r="Z83" s="3" t="n"/>
    </row>
    <row r="84" ht="37.5" customHeight="1" s="88">
      <c r="A84" s="3" t="n"/>
      <c r="B84" s="3" t="n"/>
      <c r="C84" s="3" t="n"/>
      <c r="D84" s="84" t="n"/>
      <c r="E84" s="84" t="n"/>
      <c r="F84" s="84" t="n"/>
      <c r="G84" s="3" t="n"/>
      <c r="H84" s="85" t="n"/>
      <c r="I84" s="85" t="n"/>
      <c r="J84" s="86" t="n"/>
      <c r="K84" s="87" t="n"/>
      <c r="L84" s="85" t="n"/>
      <c r="M84" s="85" t="n"/>
      <c r="N84" s="85" t="n"/>
      <c r="O84" s="3" t="n"/>
      <c r="P84" s="3" t="n"/>
      <c r="Q84" s="3" t="n"/>
      <c r="R84" s="3" t="n"/>
      <c r="S84" s="3" t="n"/>
      <c r="T84" s="3" t="n"/>
      <c r="U84" s="3" t="n"/>
      <c r="V84" s="3" t="n"/>
      <c r="W84" s="3" t="n"/>
      <c r="X84" s="3" t="n"/>
      <c r="Y84" s="3" t="n"/>
      <c r="Z84" s="3" t="n"/>
    </row>
    <row r="85" ht="37.5" customHeight="1" s="88">
      <c r="A85" s="3" t="n"/>
      <c r="B85" s="3" t="n"/>
      <c r="C85" s="3" t="n"/>
      <c r="D85" s="84" t="n"/>
      <c r="E85" s="84" t="n"/>
      <c r="F85" s="84" t="n"/>
      <c r="G85" s="3" t="n"/>
      <c r="H85" s="85" t="n"/>
      <c r="I85" s="85" t="n"/>
      <c r="J85" s="86" t="n"/>
      <c r="K85" s="87" t="n"/>
      <c r="L85" s="85" t="n"/>
      <c r="M85" s="85" t="n"/>
      <c r="N85" s="85" t="n"/>
      <c r="O85" s="3" t="n"/>
      <c r="P85" s="3" t="n"/>
      <c r="Q85" s="3" t="n"/>
      <c r="R85" s="3" t="n"/>
      <c r="S85" s="3" t="n"/>
      <c r="T85" s="3" t="n"/>
      <c r="U85" s="3" t="n"/>
      <c r="V85" s="3" t="n"/>
      <c r="W85" s="3" t="n"/>
      <c r="X85" s="3" t="n"/>
      <c r="Y85" s="3" t="n"/>
      <c r="Z85" s="3" t="n"/>
    </row>
    <row r="86" ht="37.5" customHeight="1" s="88">
      <c r="A86" s="3" t="n"/>
      <c r="B86" s="3" t="n"/>
      <c r="C86" s="3" t="n"/>
      <c r="D86" s="84" t="n"/>
      <c r="E86" s="84" t="n"/>
      <c r="F86" s="84" t="n"/>
      <c r="G86" s="3" t="n"/>
      <c r="H86" s="85" t="n"/>
      <c r="I86" s="85" t="n"/>
      <c r="J86" s="86" t="n"/>
      <c r="K86" s="87" t="n"/>
      <c r="L86" s="85" t="n"/>
      <c r="M86" s="85" t="n"/>
      <c r="N86" s="85" t="n"/>
      <c r="O86" s="3" t="n"/>
      <c r="P86" s="3" t="n"/>
      <c r="Q86" s="3" t="n"/>
      <c r="R86" s="3" t="n"/>
      <c r="S86" s="3" t="n"/>
      <c r="T86" s="3" t="n"/>
      <c r="U86" s="3" t="n"/>
      <c r="V86" s="3" t="n"/>
      <c r="W86" s="3" t="n"/>
      <c r="X86" s="3" t="n"/>
      <c r="Y86" s="3" t="n"/>
      <c r="Z86" s="3" t="n"/>
    </row>
    <row r="87" ht="37.5" customHeight="1" s="88">
      <c r="A87" s="3" t="n"/>
      <c r="B87" s="3" t="n"/>
      <c r="C87" s="3" t="n"/>
      <c r="D87" s="84" t="n"/>
      <c r="E87" s="84" t="n"/>
      <c r="F87" s="84" t="n"/>
      <c r="G87" s="3" t="n"/>
      <c r="H87" s="85" t="n"/>
      <c r="I87" s="85" t="n"/>
      <c r="J87" s="86" t="n"/>
      <c r="K87" s="87" t="n"/>
      <c r="L87" s="85" t="n"/>
      <c r="M87" s="85" t="n"/>
      <c r="N87" s="85" t="n"/>
      <c r="O87" s="3" t="n"/>
      <c r="P87" s="3" t="n"/>
      <c r="Q87" s="3" t="n"/>
      <c r="R87" s="3" t="n"/>
      <c r="S87" s="3" t="n"/>
      <c r="T87" s="3" t="n"/>
      <c r="U87" s="3" t="n"/>
      <c r="V87" s="3" t="n"/>
      <c r="W87" s="3" t="n"/>
      <c r="X87" s="3" t="n"/>
      <c r="Y87" s="3" t="n"/>
      <c r="Z87" s="3" t="n"/>
    </row>
    <row r="88" ht="37.5" customHeight="1" s="88">
      <c r="A88" s="3" t="n"/>
      <c r="B88" s="3" t="n"/>
      <c r="C88" s="3" t="n"/>
      <c r="D88" s="84" t="n"/>
      <c r="E88" s="84" t="n"/>
      <c r="F88" s="84" t="n"/>
      <c r="G88" s="3" t="n"/>
      <c r="H88" s="85" t="n"/>
      <c r="I88" s="85" t="n"/>
      <c r="J88" s="86" t="n"/>
      <c r="K88" s="87" t="n"/>
      <c r="L88" s="85" t="n"/>
      <c r="M88" s="85" t="n"/>
      <c r="N88" s="85" t="n"/>
      <c r="O88" s="3" t="n"/>
      <c r="P88" s="3" t="n"/>
      <c r="Q88" s="3" t="n"/>
      <c r="R88" s="3" t="n"/>
      <c r="S88" s="3" t="n"/>
      <c r="T88" s="3" t="n"/>
      <c r="U88" s="3" t="n"/>
      <c r="V88" s="3" t="n"/>
      <c r="W88" s="3" t="n"/>
      <c r="X88" s="3" t="n"/>
      <c r="Y88" s="3" t="n"/>
      <c r="Z88" s="3" t="n"/>
    </row>
    <row r="89" ht="37.5" customHeight="1" s="88">
      <c r="A89" s="3" t="n"/>
      <c r="B89" s="3" t="n"/>
      <c r="C89" s="3" t="n"/>
      <c r="D89" s="84" t="n"/>
      <c r="E89" s="84" t="n"/>
      <c r="F89" s="84" t="n"/>
      <c r="G89" s="3" t="n"/>
      <c r="H89" s="85" t="n"/>
      <c r="I89" s="85" t="n"/>
      <c r="J89" s="86" t="n"/>
      <c r="K89" s="87" t="n"/>
      <c r="L89" s="85" t="n"/>
      <c r="M89" s="85" t="n"/>
      <c r="N89" s="85" t="n"/>
      <c r="O89" s="3" t="n"/>
      <c r="P89" s="3" t="n"/>
      <c r="Q89" s="3" t="n"/>
      <c r="R89" s="3" t="n"/>
      <c r="S89" s="3" t="n"/>
      <c r="T89" s="3" t="n"/>
      <c r="U89" s="3" t="n"/>
      <c r="V89" s="3" t="n"/>
      <c r="W89" s="3" t="n"/>
      <c r="X89" s="3" t="n"/>
      <c r="Y89" s="3" t="n"/>
      <c r="Z89" s="3" t="n"/>
    </row>
    <row r="90" ht="37.5" customHeight="1" s="88">
      <c r="A90" s="3" t="n"/>
      <c r="B90" s="3" t="n"/>
      <c r="C90" s="3" t="n"/>
      <c r="D90" s="84" t="n"/>
      <c r="E90" s="84" t="n"/>
      <c r="F90" s="84" t="n"/>
      <c r="G90" s="3" t="n"/>
      <c r="H90" s="85" t="n"/>
      <c r="I90" s="85" t="n"/>
      <c r="J90" s="86" t="n"/>
      <c r="K90" s="87" t="n"/>
      <c r="L90" s="85" t="n"/>
      <c r="M90" s="85" t="n"/>
      <c r="N90" s="85" t="n"/>
      <c r="O90" s="3" t="n"/>
      <c r="P90" s="3" t="n"/>
      <c r="Q90" s="3" t="n"/>
      <c r="R90" s="3" t="n"/>
      <c r="S90" s="3" t="n"/>
      <c r="T90" s="3" t="n"/>
      <c r="U90" s="3" t="n"/>
      <c r="V90" s="3" t="n"/>
      <c r="W90" s="3" t="n"/>
      <c r="X90" s="3" t="n"/>
      <c r="Y90" s="3" t="n"/>
      <c r="Z90" s="3" t="n"/>
    </row>
    <row r="91" ht="37.5" customHeight="1" s="88">
      <c r="A91" s="3" t="n"/>
      <c r="B91" s="3" t="n"/>
      <c r="C91" s="3" t="n"/>
      <c r="D91" s="84" t="n"/>
      <c r="E91" s="84" t="n"/>
      <c r="F91" s="84" t="n"/>
      <c r="G91" s="3" t="n"/>
      <c r="H91" s="85" t="n"/>
      <c r="I91" s="85" t="n"/>
      <c r="J91" s="86" t="n"/>
      <c r="K91" s="87" t="n"/>
      <c r="L91" s="85" t="n"/>
      <c r="M91" s="85" t="n"/>
      <c r="N91" s="85" t="n"/>
      <c r="O91" s="3" t="n"/>
      <c r="P91" s="3" t="n"/>
      <c r="Q91" s="3" t="n"/>
      <c r="R91" s="3" t="n"/>
      <c r="S91" s="3" t="n"/>
      <c r="T91" s="3" t="n"/>
      <c r="U91" s="3" t="n"/>
      <c r="V91" s="3" t="n"/>
      <c r="W91" s="3" t="n"/>
      <c r="X91" s="3" t="n"/>
      <c r="Y91" s="3" t="n"/>
      <c r="Z91" s="3" t="n"/>
    </row>
    <row r="92" ht="15.75" customHeight="1" s="88">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88">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88">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88">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88">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88">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8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88">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88">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88">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88">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88">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88">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88">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88">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88">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8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88">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88">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88">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88">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88">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88">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88">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88">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88">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8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88">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88">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88">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88">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88">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88">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88">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88">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88">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8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88">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88">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88">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88">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88">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88">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88">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88">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88">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8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88">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88">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88">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88">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88">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88">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88">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88">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88">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8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88">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88">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88">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88">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88">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88">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88">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88">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88">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8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88">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88">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88">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88">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88">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88">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88">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88">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88">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8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88">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88">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88">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88">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88">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88">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88">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88">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88">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8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88">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88">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88">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88">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88">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88">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88">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88">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88">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88">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88">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88">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88">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88">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88">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88">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88">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88">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8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88">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88">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88">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88">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88">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88">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88">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88">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88">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8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88">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88">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88">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88">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88">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88">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88">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88">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88">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8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88">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88">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88">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88">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88">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88">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88">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88">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88">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8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88">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88">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88">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88">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88">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88">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88">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88">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88">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8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88">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88">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88">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88">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88">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88">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88">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88">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88">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8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88">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88">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88">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88">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88">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88">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88">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88">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88">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8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88">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88">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88">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88">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88">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88">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88">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88">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88">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8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88">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88">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88">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88">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88">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88">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88">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88">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88">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8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88">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88">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88">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88">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88">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88">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88">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88">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88">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88">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88">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88">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88">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88">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88">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88">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88">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88">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8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88">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88">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88">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88">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88">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88">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88">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88">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88">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8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88">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88">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88">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88">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88">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88">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88">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88">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88">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8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88">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88">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88">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88">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88">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88">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88">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88">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88">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8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88">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88">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88">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88">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88">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88">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88">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88">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88">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8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88">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88">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88">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88">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88">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88">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88">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88">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88">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8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88">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88">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88">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88">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88">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88">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88">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88">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88">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8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88">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88">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88">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88">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88">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88">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88">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88">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88">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8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88">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88">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88">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88">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88">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88">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88">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88">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88">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8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88">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88">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88">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88">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88">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88">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88">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88">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88">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88">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88">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88">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88">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88">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88">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88">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88">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88">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8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88">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88">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88">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88">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88">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88">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88">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88">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88">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8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88">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88">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88">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88">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88">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88">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88">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88">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88">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8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88">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88">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88">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88">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88">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88">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88">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88">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88">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8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88">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88">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88">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88">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88">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88">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88">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88">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88">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8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88">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88">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88">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88">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88">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88">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88">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88">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88">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8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88">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88">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88">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88">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88">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88">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88">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88">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88">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8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88">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88">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88">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88">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88">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88">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88">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88">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88">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8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88">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88">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88">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88">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88">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88">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88">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88">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88">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8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88">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88">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88">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88">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88">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88">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88">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88">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88">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88">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88">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88">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88">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88">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88">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88">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88">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88">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8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88">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88">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88">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88">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88">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88">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88">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88">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88">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8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88">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88">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88">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88">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88">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88">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88">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88">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88">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8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88">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88">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88">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88">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88">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88">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88">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88">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88">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8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88">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88">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88">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88">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88">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88">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88">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88">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88">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8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88">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88">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88">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88">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88">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88">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88">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88">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88">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8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88">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88">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88">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88">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88">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88">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88">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88">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88">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8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88">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88">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88">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88">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88">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88">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88">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88">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88">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8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88">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88">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88">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88">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88">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88">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88">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88">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88">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8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88">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88">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88">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88">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88">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88">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88">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88">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88">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88">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88">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88">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88">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88">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88">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88">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88">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88">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8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88">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88">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88">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88">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88">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88">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88">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88">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88">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8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88">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88">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88">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88">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88">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88">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88">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88">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88">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8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88">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88">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88">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88">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88">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88">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88">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88">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88">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8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88">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88">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88">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88">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88">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88">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88">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88">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88">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8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88">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88">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88">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88">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88">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88">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88">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88">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88">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8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88">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88">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88">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88">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88">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88">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88">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88">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88">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8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88">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88">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88">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88">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88">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88">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88">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88">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88">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8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88">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88">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88">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88">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88">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88">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88">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88">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88">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8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88">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88">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88">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88">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88">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88">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88">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88">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88">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88">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88">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88">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88">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88">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88">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88">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88">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88">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8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88">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88">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88">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88">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88">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88">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88">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88">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88">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8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88">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88">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88">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88">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88">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88">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88">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88">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88">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8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88">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88">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88">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88">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88">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88">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88">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88">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88">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8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88">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88">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88">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88">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88">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88">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88">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88">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88">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8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88">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88">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88">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88">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88">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88">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88">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88">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88">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8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88">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88">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88">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88">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88">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88">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88">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88">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88">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8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88">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88">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88">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88">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88">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88">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88">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88">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88">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8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88">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88">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88">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88">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88">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88">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88">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88">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88">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8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88">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88">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88">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88">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88">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88">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88">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88">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88">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88">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88">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88">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88">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88">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88">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88">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88">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88">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8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88">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88">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88">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88">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88">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88">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88">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88">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88">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8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88">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88">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88">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88">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88">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88">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88">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88">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88">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8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88">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88">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88">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88">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88">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88">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88">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88">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88">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8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88">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88">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88">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88">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88">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88">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88">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88">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88">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8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88">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88">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88">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88">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88">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88">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88">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88">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88">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8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88">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88">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88">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88">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88">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88">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88">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88">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88">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8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88">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88">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88">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88">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88">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88">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88">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88">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88">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8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88">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88">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88">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88">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88">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88">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88">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88">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88">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8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88">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88">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88">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88">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88">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88">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88">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88">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88">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88">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88">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88">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88">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88">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88">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88">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88">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88">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8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88">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88">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88">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88">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88">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88">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88">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88">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88">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8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88">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88">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88">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88">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88">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88">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88">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88">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88">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8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88">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88">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88">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88">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88">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88">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88">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88">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88">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8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88">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88">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88">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88">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88">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88">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88">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88">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88">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8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88">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88">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88">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88">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88">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88">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88">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88">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88">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8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88">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88">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88">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88">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88">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88">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88">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88">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88">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8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88">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88">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88">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88">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88">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88">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88">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88">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88">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8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88">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88">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88">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88">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88">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88">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88">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88">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88">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8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88">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88">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88">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88">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88">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88">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88">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88">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88">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88">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88">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88">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88">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88">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88">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88">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88">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88">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8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88">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88">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2">
    <mergeCell ref="D3:F3"/>
    <mergeCell ref="A1:H1"/>
  </mergeCells>
  <conditionalFormatting sqref="B10:B18">
    <cfRule type="expression" priority="1" dxfId="5">
      <formula>B10="Missing"</formula>
    </cfRule>
  </conditionalFormatting>
  <conditionalFormatting sqref="B5">
    <cfRule type="expression" priority="2" dxfId="5">
      <formula>ABS(B5-50000)&gt;5000</formula>
    </cfRule>
  </conditionalFormatting>
  <dataValidations count="5">
    <dataValidation sqref="B63:B91" showDropDown="0" showInputMessage="0" showErrorMessage="0" allowBlank="1" type="list">
      <formula1>"Account monitoring,Prioritization,Inbound issue handling,Customer check-in support,Output quality review,Targeted intervention planning,24/7 responsiveness / escalation,Memory / context retrieval,Evaluation / QA"</formula1>
    </dataValidation>
    <dataValidation sqref="I13:I62" showDropDown="0" showInputMessage="0" showErrorMessage="0" allowBlank="1" type="list">
      <formula1>'Pricing Reference'!$B$5:$B$12</formula1>
    </dataValidation>
    <dataValidation sqref="G16:G91" showDropDown="0" showInputMessage="0" showErrorMessage="0" allowBlank="1" type="list">
      <formula1>"Low-cost model,Mid model,High-reasoning model,Embedding / retrieval"</formula1>
    </dataValidation>
    <dataValidation sqref="E13:E62" showDropDown="0" showInputMessage="0" showErrorMessage="0" allowBlank="1" type="list">
      <formula1>'Cadence Reference'!$A$5:$A$12</formula1>
    </dataValidation>
    <dataValidation sqref="B13:B62" showDropDown="0" showInputMessage="0" showErrorMessage="0" allowBlank="1" type="list">
      <formula1>'Token Math Template'!$D$5:$D$13</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sheetData>
    <row r="1">
      <c r="A1" s="27" t="inlineStr">
        <is>
          <t>Scenario Analysis</t>
        </is>
      </c>
      <c r="I1" s="3" t="n"/>
      <c r="J1" s="3" t="n"/>
      <c r="K1" s="3" t="n"/>
      <c r="L1" s="3" t="n"/>
      <c r="M1" s="3" t="n"/>
      <c r="N1" s="3" t="n"/>
      <c r="O1" s="3" t="n"/>
      <c r="P1" s="3" t="n"/>
      <c r="Q1" s="3" t="n"/>
      <c r="R1" s="3" t="n"/>
      <c r="S1" s="3" t="n"/>
      <c r="T1" s="3" t="n"/>
      <c r="U1" s="3" t="n"/>
      <c r="V1" s="3" t="n"/>
      <c r="W1" s="3" t="n"/>
      <c r="X1" s="3" t="n"/>
      <c r="Y1" s="3" t="n"/>
      <c r="Z1" s="3" t="n"/>
    </row>
    <row r="2">
      <c r="A2" s="8" t="inlineStr">
        <is>
          <t>Use this to test sensitivity. Fill multipliers for Base, Scaled, Stress, and Optimized cases. Explain each scenario in the rationale column.</t>
        </is>
      </c>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45" t="inlineStr">
        <is>
          <t>Scenario</t>
        </is>
      </c>
      <c r="B4" s="45" t="inlineStr">
        <is>
          <t>Volume multiplier</t>
        </is>
      </c>
      <c r="C4" s="45" t="inlineStr">
        <is>
          <t>Token-size multiplier</t>
        </is>
      </c>
      <c r="D4" s="45" t="inlineStr">
        <is>
          <t>Model price multiplier</t>
        </is>
      </c>
      <c r="E4" s="45" t="inlineStr">
        <is>
          <t>QA/retry multiplier</t>
        </is>
      </c>
      <c r="F4" s="45" t="inlineStr">
        <is>
          <t>Estimated annual cost</t>
        </is>
      </c>
      <c r="G4" s="45" t="inlineStr">
        <is>
          <t>Budget utilization</t>
        </is>
      </c>
      <c r="H4" s="45" t="inlineStr">
        <is>
          <t>Rationale</t>
        </is>
      </c>
      <c r="I4" s="3" t="n"/>
      <c r="J4" s="3" t="n"/>
      <c r="K4" s="3" t="n"/>
      <c r="L4" s="3" t="n"/>
      <c r="M4" s="3" t="n"/>
      <c r="N4" s="3" t="n"/>
      <c r="O4" s="3" t="n"/>
      <c r="P4" s="3" t="n"/>
      <c r="Q4" s="3" t="n"/>
      <c r="R4" s="3" t="n"/>
      <c r="S4" s="3" t="n"/>
      <c r="T4" s="3" t="n"/>
      <c r="U4" s="3" t="n"/>
      <c r="V4" s="3" t="n"/>
      <c r="W4" s="3" t="n"/>
      <c r="X4" s="3" t="n"/>
      <c r="Y4" s="3" t="n"/>
      <c r="Z4" s="3" t="n"/>
    </row>
    <row r="5">
      <c r="A5" s="50" t="inlineStr">
        <is>
          <t>Base case</t>
        </is>
      </c>
      <c r="B5" s="56" t="n">
        <v>1</v>
      </c>
      <c r="C5" s="56" t="n">
        <v>1</v>
      </c>
      <c r="D5" s="56" t="n">
        <v>1</v>
      </c>
      <c r="E5" s="56" t="n">
        <v>1</v>
      </c>
      <c r="F5" s="58">
        <f>IF(COUNTA(B5:E5)&lt;4,"",'Token Math Template'!$B$4*B5*C5*D5*E5)</f>
        <v/>
      </c>
      <c r="G5" s="55">
        <f>IF(F5="","",F5/'Token Math Template'!$B$3)</f>
        <v/>
      </c>
      <c r="H5" s="50" t="inlineStr">
        <is>
          <t>Expected production usage based on your Token Math Template.</t>
        </is>
      </c>
      <c r="I5" s="3" t="n"/>
      <c r="J5" s="3" t="n"/>
      <c r="K5" s="3" t="n"/>
      <c r="L5" s="3" t="n"/>
      <c r="M5" s="3" t="n"/>
      <c r="N5" s="3" t="n"/>
      <c r="O5" s="3" t="n"/>
      <c r="P5" s="3" t="n"/>
      <c r="Q5" s="3" t="n"/>
      <c r="R5" s="3" t="n"/>
      <c r="S5" s="3" t="n"/>
      <c r="T5" s="3" t="n"/>
      <c r="U5" s="3" t="n"/>
      <c r="V5" s="3" t="n"/>
      <c r="W5" s="3" t="n"/>
      <c r="X5" s="3" t="n"/>
      <c r="Y5" s="3" t="n"/>
      <c r="Z5" s="3" t="n"/>
    </row>
    <row r="6">
      <c r="A6" s="32" t="inlineStr">
        <is>
          <t>Scaled case</t>
        </is>
      </c>
      <c r="B6" s="75" t="n">
        <v>50</v>
      </c>
      <c r="C6" s="75" t="n">
        <v>1</v>
      </c>
      <c r="D6" s="75" t="n">
        <v>1</v>
      </c>
      <c r="E6" s="75" t="n">
        <v>1</v>
      </c>
      <c r="F6" s="76">
        <f>IF(COUNTA(B6:E6)&lt;4,"",'Token Math Template'!$B$4*B6*C6*D6*E6)</f>
        <v/>
      </c>
      <c r="G6" s="69">
        <f>IF(F6="","",F6/'Token Math Template'!$B$3)</f>
        <v/>
      </c>
      <c r="H6" s="70" t="inlineStr">
        <is>
          <t>Mid-market growth: 18-account demo book scaled ~50x to ~900 accounts under management, same token sizes, pricing, and retry/QA assumptions as Base case.</t>
        </is>
      </c>
      <c r="I6" s="3" t="n"/>
      <c r="J6" s="3" t="n"/>
      <c r="K6" s="3" t="n"/>
      <c r="L6" s="3" t="n"/>
      <c r="M6" s="3" t="n"/>
      <c r="N6" s="3" t="n"/>
      <c r="O6" s="3" t="n"/>
      <c r="P6" s="3" t="n"/>
      <c r="Q6" s="3" t="n"/>
      <c r="R6" s="3" t="n"/>
      <c r="S6" s="3" t="n"/>
      <c r="T6" s="3" t="n"/>
      <c r="U6" s="3" t="n"/>
      <c r="V6" s="3" t="n"/>
      <c r="W6" s="3" t="n"/>
      <c r="X6" s="3" t="n"/>
      <c r="Y6" s="3" t="n"/>
      <c r="Z6" s="3" t="n"/>
    </row>
    <row r="7">
      <c r="A7" s="50" t="inlineStr">
        <is>
          <t>Stress case</t>
        </is>
      </c>
      <c r="B7" s="82" t="n">
        <v>150</v>
      </c>
      <c r="C7" s="82" t="n">
        <v>1.3</v>
      </c>
      <c r="D7" s="82" t="n">
        <v>1</v>
      </c>
      <c r="E7" s="82" t="n">
        <v>1.2</v>
      </c>
      <c r="F7" s="83">
        <f>IF(COUNTA(B7:E7)&lt;4,"",'Token Math Template'!$B$4*B7*C7*D7*E7)</f>
        <v/>
      </c>
      <c r="G7" s="60">
        <f>IF(F7="","",F7/'Token Math Template'!$B$3)</f>
        <v/>
      </c>
      <c r="H7" s="77" t="inlineStr">
        <is>
          <t>Enterprise scale + stress: ~2,700 accounts, 30% larger context per call (longer history/call notes retained), 20% more retries/QA overhead from higher ticket and escalation volume.</t>
        </is>
      </c>
      <c r="I7" s="3" t="n"/>
      <c r="J7" s="3" t="n"/>
      <c r="K7" s="3" t="n"/>
      <c r="L7" s="3" t="n"/>
      <c r="M7" s="3" t="n"/>
      <c r="N7" s="3" t="n"/>
      <c r="O7" s="3" t="n"/>
      <c r="P7" s="3" t="n"/>
      <c r="Q7" s="3" t="n"/>
      <c r="R7" s="3" t="n"/>
      <c r="S7" s="3" t="n"/>
      <c r="T7" s="3" t="n"/>
      <c r="U7" s="3" t="n"/>
      <c r="V7" s="3" t="n"/>
      <c r="W7" s="3" t="n"/>
      <c r="X7" s="3" t="n"/>
      <c r="Y7" s="3" t="n"/>
      <c r="Z7" s="3" t="n"/>
    </row>
    <row r="8">
      <c r="A8" s="32" t="inlineStr">
        <is>
          <t>Optimized case</t>
        </is>
      </c>
      <c r="B8" s="75" t="n">
        <v>150</v>
      </c>
      <c r="C8" s="75" t="n">
        <v>1</v>
      </c>
      <c r="D8" s="75" t="n">
        <v>0.85</v>
      </c>
      <c r="E8" s="75" t="n">
        <v>0.9</v>
      </c>
      <c r="F8" s="76">
        <f>IF(COUNTA(B8:E8)&lt;4,"",'Token Math Template'!$B$4*B8*C8*D8*E8)</f>
        <v/>
      </c>
      <c r="G8" s="69">
        <f>IF(F8="","",F8/'Token Math Template'!$B$3)</f>
        <v/>
      </c>
      <c r="H8" s="70" t="inlineStr">
        <is>
          <t>Same enterprise scale as Stress case, but with prompt caching on repeated context (Anthropic cached input ~10% of base price blended into a 0.85x effective price multiplier) and 10% fewer retries from improved prompts -- shows the cost lever available at scale.</t>
        </is>
      </c>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B22"/>
  <sheetViews>
    <sheetView workbookViewId="0">
      <selection activeCell="A1" sqref="A1"/>
    </sheetView>
  </sheetViews>
  <sheetFormatPr baseColWidth="8" defaultColWidth="14.43" defaultRowHeight="15" customHeight="1"/>
  <sheetData>
    <row r="1">
      <c r="A1" t="inlineStr">
        <is>
          <t>Candidate Assumptions</t>
        </is>
      </c>
    </row>
    <row r="2">
      <c r="A2" t="inlineStr">
        <is>
          <t>Rationale supporting the Token Math Template. All token/cost figures cite cs_workflow_simulation/outputs/token_cost_summary.csv unless marked as an estimate.</t>
        </is>
      </c>
    </row>
    <row r="4">
      <c r="A4" t="inlineStr">
        <is>
          <t>Volume / scale</t>
        </is>
      </c>
      <c r="B4" t="inlineStr">
        <is>
          <t>Base case volume is anchored to the 18-account demo portfolio actually run through cs_workflow_simulation/workflow.py -- this is why Base-case budget utilization is very low (~0.02%). It is NOT a production volume estimate. Scenario Analysis 'Scaled' and 'Stress' cases show what the same per-run economics look like at realistic mid-market (~900 accounts) and enterprise (~2,700 accounts) scale.</t>
        </is>
      </c>
    </row>
    <row r="6">
      <c r="A6" t="inlineStr">
        <is>
          <t>Token sizes (input/output per run)</t>
        </is>
      </c>
      <c r="B6" t="inlineStr">
        <is>
          <t>All 'Avg input/output tokens per run' values in the Token Math Template are MEASURED -- taken directly from token_cost_summary.csv, which logs the JSON-serialized input/output for every simulated call and converts to tokens via characters/4. The one exception is the Evaluation/QA row (see below), which is a full estimate.</t>
        </is>
      </c>
    </row>
    <row r="8">
      <c r="A8" t="inlineStr">
        <is>
          <t>Model routing</t>
        </is>
      </c>
      <c r="B8" t="inlineStr">
        <is>
          <t>Cheap/high-volume stages (Memory &amp; retrieval, Account monitoring, Prioritization) use embeddings or Claude Haiku 4.5. Judgment-heavy stages (Inbound issue handling, Customer check-in support, Targeted intervention planning) use Claude Sonnet 4.6. Output quality review and the Evaluation/QA audit estimate use GPT-5.4 mini (cross-provider rubric judging, cheaper than a frontier model). Escalation uses Claude Opus 4.7 -- highest stakes, lowest volume. This mirrors the simulation's documented routing table in cs_workflow_simulation/README.md.</t>
        </is>
      </c>
    </row>
    <row r="10">
      <c r="A10" t="inlineStr">
        <is>
          <t>Retry / recheck rates</t>
        </is>
      </c>
      <c r="B10" t="inlineStr">
        <is>
          <t>Not measured -- the simulation runs each call once with no retry logic. Rates in the template (2%-15%) are assumption-based, scaled to stage risk: lowest for embeddings/monitoring, highest for escalation. These should be replaced with real failure/retry telemetry once the system is live.</t>
        </is>
      </c>
    </row>
    <row r="12">
      <c r="A12" t="inlineStr">
        <is>
          <t>QA / eval multiplier</t>
        </is>
      </c>
      <c r="B12" t="inlineStr">
        <is>
          <t>Not measured -- represents the added cost of human or secondary-model review layered on top of the base call (e.g. CSM reviewing a check-in brief, sign-off before an intervention or escalation). Output quality review and Prioritization carry a 1.0x multiplier because they are themselves the QA/control step for their stage, so stacking a second multiplier would double-count.</t>
        </is>
      </c>
    </row>
    <row r="14">
      <c r="A14" t="inlineStr">
        <is>
          <t>Evaluation / QA row -- FLAGGED ESTIMATE</t>
        </is>
      </c>
      <c r="B14" t="inlineStr">
        <is>
          <t>The 4 evaluation checks workflow.py actually runs (Urgent coverage, high-severity routing, brief completeness, full quality-standard coverage) are deterministic Python with zero token cost today. The Token Math Template's 'Evaluation / QA' row is a placeholder estimate for what an LLM-as-judge audit sampling those results would cost in production -- its token sizes are assumed by analogy to the Output quality review stage and are explicitly not measured. The 'Source / measurement link' column for this row says so directly.</t>
        </is>
      </c>
    </row>
    <row r="16">
      <c r="A16" t="inlineStr">
        <is>
          <t>Estimate vs. measured variance (column S)</t>
        </is>
      </c>
      <c r="B16" t="inlineStr">
        <is>
          <t>Variance is consistently negative (adjusted cost/run &gt; measured average cost/run) because the simulation's measured cost is a single deterministic pass with no retry or QA overhead, while the template's 'Adjusted cost/run' deliberately inflates for retry/QA. This gap is expected and is the point of carrying both columns -- it is not a measurement error.</t>
        </is>
      </c>
    </row>
    <row r="18">
      <c r="A18" t="inlineStr">
        <is>
          <t>Budget utilization</t>
        </is>
      </c>
      <c r="B18" t="inlineStr">
        <is>
          <t>Base case utilization (~0.02%) reflects the 18-account demo scale, not a production estimate -- intentionally not inflated to approach $50,000. The Scaled case (~900 accounts) reaches roughly 1% utilization and the Stress case (~2,700 accounts, larger context, more retries) reaches roughly 4%, showing the system has very large headroom under the budget even at meaningfully larger scale; the limiting factor in a real deployment would be operational capacity (CSM headcount, ticket queue), not token spend.</t>
        </is>
      </c>
    </row>
    <row r="20">
      <c r="A20" t="inlineStr">
        <is>
          <t>Caching / batching</t>
        </is>
      </c>
      <c r="B20" t="inlineStr">
        <is>
          <t>Not modeled in the Base, Scaled, or Stress cases. The Optimized scenario applies a 0.85x blended price multiplier to approximate Anthropic prompt-cache reads (~10% of base input price per the Pricing Reference tab) on repeated context such as account history and call notes, plus a 10% reduction in retries from improved prompting.</t>
        </is>
      </c>
    </row>
    <row r="22">
      <c r="A22" t="inlineStr">
        <is>
          <t>Cadence assumptions</t>
        </is>
      </c>
      <c r="B22" t="inlineStr">
        <is>
          <t>Memory &amp; retrieval, Account monitoring, and Prioritization run on a Business-day cadence (260/yr) because they scan the full active portfolio daily, matching the simulation's stage descriptions. Inbound issue handling, Customer check-in support, Output quality review, Targeted intervention planning, and the Evaluation/QA estimate are modeled as Weekly (52/yr) because their measured run counts come from a roughly one-to-two-week window in the source CSVs -- this is an extrapolation from a short window, not an observed steady-state weekly rate, and is flagged in each row's notes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2026-05-01T04:09:56Z</dcterms:created>
  <dcterms:modified xsi:type="dcterms:W3CDTF">2026-06-23T23:44:54Z</dcterms:modified>
</cp:coreProperties>
</file>